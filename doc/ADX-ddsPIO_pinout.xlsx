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5F60C8EA-F834-924C-8B80-C5DAC100372E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<sst xmlns="http://schemas.openxmlformats.org/spreadsheetml/2006/main" count="187" uniqueCount="138">
  <si>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</si>
  <si>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</si>
  <si>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</si>
  <si>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</si>
  <si>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</si>
  <si>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</si>
  <si>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</si>
  <si>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</si>
  <si>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</si>
  <si>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</si>
  <si>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</si>
  <si>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</si>
  <si>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</si>
  <si>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</si>
  <si>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</si>
  <si>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</si>
  <si>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</si>
  <si>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</si>
  <si>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</si>
  <si>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</si>
  <si>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</si>
  <si>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</si>
  <si>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</si>
  <si>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</si>
  <si>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</si>
  <si>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</si>
  <si>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</si>
  <si>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</si>
  <si>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</si>
  <si>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</si>
  <si>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</si>
  <si>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</si>
  <si>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</si>
  <si>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</si>
  <si>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</si>
  <si>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</si>
  <si>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</si>
  <si>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</si>
  <si>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</si>
  <si>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</si>
  <si>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</si>
  <si>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</si>
  <si>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</si>
  <si>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</si>
  <si>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</si>
  <si>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</si>
  <si>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</si>
  <si>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</si>
  <si>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</si>
  <si>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</si>
  <si>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</si>
  <si>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</si>
  <si>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</si>
  <si>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</si>
  <si>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</si>
  <si>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</si>
  <si>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</si>
  <si>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</si>
  <si>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</si>
  <si>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</si>
  <si>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</si>
  <si>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</si>
  <si>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</si>
  <si>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</si>
  <si>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</si>
  <si>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</si>
  <si>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</si>
  <si>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</si>
  <si>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</si>
  <si>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</si>
  <si>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</si>
  <si>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</si>
  <si>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</si>
  <si>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</si>
  <si>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</si>
  <si>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</si>
  <si>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</si>
  <si>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</si>
  <si>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</si>
  <si>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</si>
  <si>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</si>
  <si>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</si>
  <si>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</si>
  <si>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</si>
  <si>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</si>
  <si>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</si>
  <si>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</si>
  <si>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</si>
  <si>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</si>
  <si>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</si>
  <si>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</si>
  <si>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</si>
  <si>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</si>
  <si>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</si>
  <si>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</si>
  <si>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</si>
  <si>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</si>
  <si>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</si>
  <si>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</si>
  <si>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</si>
  <si>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</si>
  <si>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</si>
  <si>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</si>
  <si>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</si>
  <si>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</si>
  <si>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</si>
  <si>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</si>
  <si>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</si>
  <si>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</si>
  <si>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</si>
  <si>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</si>
  <si>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</si>
  <si>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</si>
  <si>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</si>
  <si>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</si>
  <si>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</si>
  <si>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</si>
  <si>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</si>
  <si>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</si>
  <si>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</si>
  <si>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</si>
  <si>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Digital RXA in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</si>
  <si>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</si>
  <si>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</si>
  <si>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</si>
  <si>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</si>
  <si>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</si>
  <si>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</si>
  <si>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</si>
  <si>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</si>
  <si>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</si>
  <si>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</si>
  <si>
    <t>TXA</t>
  </si>
  <si>
    <t>Driver Enable</t>
  </si>
  <si>
    <t>RFLO</t>
  </si>
  <si>
    <t>RX Local Oscillator</t>
  </si>
  <si>
    <t>RFIF</t>
  </si>
  <si>
    <t>RF RX IF (465 KHz)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</si>
</sst>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topLeftCell="A10" workbookViewId="0">
      <selection activeCell="B3" sqref="B3:J4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105</v>
      </c>
      <c r="H3" s="30" t="s">
        <v>107</v>
      </c>
      <c r="J3" s="60" t="s">
        <v>122</v>
      </c>
      <c r="K3" s="60" t="s">
        <v>123</v>
      </c>
    </row>
    <row r="4" spans="2:11" x14ac:dyDescent="0.2">
      <c r="B4" s="22">
        <f>1</f>
        <v>1</v>
      </c>
      <c r="C4" s="23" t="s">
        <v>4</v>
      </c>
      <c r="D4" s="24"/>
      <c r="E4" s="24" t="s">
        <v>58</v>
      </c>
      <c r="F4" s="25" t="s">
        <v>90</v>
      </c>
      <c r="G4" s="38" t="s">
        <v>106</v>
      </c>
      <c r="H4" s="38"/>
      <c r="J4" s="61"/>
      <c r="K4" s="61"/>
    </row>
    <row r="5" spans="2:11" x14ac:dyDescent="0.2">
      <c r="B5" s="22">
        <f>B4+1</f>
        <v>2</v>
      </c>
      <c r="C5" s="23" t="s">
        <v>5</v>
      </c>
      <c r="D5" s="24"/>
      <c r="E5" s="24" t="s">
        <v>58</v>
      </c>
      <c r="F5" s="25" t="s">
        <v>90</v>
      </c>
      <c r="G5" s="38" t="s">
        <v>106</v>
      </c>
      <c r="H5" s="38"/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94</v>
      </c>
      <c r="H7" s="31" t="s">
        <v>95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96</v>
      </c>
      <c r="J8" s="13" t="s">
        <v>124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97</v>
      </c>
      <c r="J9" s="13" t="s">
        <v>125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98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114</v>
      </c>
      <c r="H12" s="31" t="s">
        <v>109</v>
      </c>
      <c r="J12" s="13" t="s">
        <v>114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115</v>
      </c>
      <c r="H13" s="45" t="s">
        <v>118</v>
      </c>
      <c r="J13" s="13" t="s">
        <v>115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116</v>
      </c>
      <c r="H14" s="46" t="s">
        <v>117</v>
      </c>
      <c r="J14" s="41" t="s">
        <v>126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132</v>
      </c>
      <c r="H15" s="31" t="s">
        <v>133</v>
      </c>
      <c r="J15" s="13" t="s">
        <v>132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110</v>
      </c>
      <c r="J17" s="41" t="s">
        <v>127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111</v>
      </c>
      <c r="J18" s="41" t="s">
        <v>128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112</v>
      </c>
      <c r="H19" s="32" t="s">
        <v>113</v>
      </c>
      <c r="J19" s="61"/>
      <c r="K19" s="61"/>
    </row>
    <row r="20" spans="2:11" x14ac:dyDescent="0.2">
      <c r="B20" s="4">
        <f t="shared" si="0"/>
        <v>17</v>
      </c>
      <c r="C20" s="5" t="s">
        <v>18</v>
      </c>
      <c r="D20" s="6" t="s">
        <v>45</v>
      </c>
      <c r="E20" s="6" t="s">
        <v>60</v>
      </c>
      <c r="F20" s="7" t="s">
        <v>79</v>
      </c>
      <c r="G20" s="64" t="s">
        <v>134</v>
      </c>
      <c r="H20" s="34" t="s">
        <v>135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4" t="s">
        <v>108</v>
      </c>
      <c r="H22" s="34" t="s">
        <v>119</v>
      </c>
      <c r="J22" s="61"/>
      <c r="K22" s="61"/>
    </row>
    <row r="23" spans="2:11" x14ac:dyDescent="0.2">
      <c r="B23" s="4">
        <f t="shared" si="0"/>
        <v>20</v>
      </c>
      <c r="C23" s="5" t="s">
        <v>20</v>
      </c>
      <c r="D23" s="6"/>
      <c r="E23" s="6" t="s">
        <v>46</v>
      </c>
      <c r="F23" s="7" t="s">
        <v>77</v>
      </c>
      <c r="G23" s="34" t="s">
        <v>136</v>
      </c>
      <c r="H23" s="34" t="s">
        <v>137</v>
      </c>
      <c r="J23" s="61"/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106</v>
      </c>
      <c r="H24" s="38"/>
      <c r="J24" s="61" t="s">
        <v>47</v>
      </c>
      <c r="K24" s="63" t="s">
        <v>130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106</v>
      </c>
      <c r="H25" s="38"/>
      <c r="J25" s="61" t="s">
        <v>48</v>
      </c>
      <c r="K25" s="63" t="s">
        <v>130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22">
        <f t="shared" si="0"/>
        <v>24</v>
      </c>
      <c r="C27" s="23" t="s">
        <v>23</v>
      </c>
      <c r="D27" s="24"/>
      <c r="E27" s="24" t="s">
        <v>49</v>
      </c>
      <c r="F27" s="25" t="s">
        <v>83</v>
      </c>
      <c r="G27" s="38" t="s">
        <v>106</v>
      </c>
      <c r="H27" s="38"/>
      <c r="J27" s="61"/>
      <c r="K27" s="63" t="s">
        <v>131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104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104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104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104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104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120</v>
      </c>
      <c r="H34" s="44" t="s">
        <v>121</v>
      </c>
      <c r="J34" s="61"/>
      <c r="K34" s="63" t="s">
        <v>131</v>
      </c>
    </row>
    <row r="35" spans="2:11" x14ac:dyDescent="0.2">
      <c r="B35" s="22">
        <f t="shared" si="0"/>
        <v>32</v>
      </c>
      <c r="C35" s="23" t="s">
        <v>30</v>
      </c>
      <c r="D35" s="24"/>
      <c r="E35" s="24" t="s">
        <v>52</v>
      </c>
      <c r="F35" s="25" t="s">
        <v>76</v>
      </c>
      <c r="G35" s="38" t="s">
        <v>104</v>
      </c>
      <c r="H35" s="38"/>
      <c r="J35" s="23"/>
      <c r="K35" s="63" t="s">
        <v>130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99</v>
      </c>
      <c r="H36" s="33" t="s">
        <v>100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104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102</v>
      </c>
      <c r="H39" s="37"/>
      <c r="J39" s="62" t="s">
        <v>129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101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103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2026-01-24T18:51:36Z</dcterms:modified>
</cp:coreProperties>
</file>