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rp2040-DDS/doc/"/>
    </mc:Choice>
  </mc:AlternateContent>
  <xr:revisionPtr revIDLastSave="0" documentId="8_{812B6AA3-9460-934E-8CA7-6AEB749EFE1F}" xr6:coauthVersionLast="47" xr6:coauthVersionMax="47" xr10:uidLastSave="{00000000-0000-0000-0000-000000000000}"/>
  <bookViews>
    <workbookView xWindow="7800" yWindow="760" windowWidth="21600" windowHeight="14680" xr2:uid="{00000000-000D-0000-FFFF-FFFF00000000}"/>
  </bookViews>
  <sheets>
    <sheet name="rp2040 PinOu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<sst xmlns="http://schemas.openxmlformats.org/spreadsheetml/2006/main" count="184" uniqueCount="135">
  <si>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</si>
  <si>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</si>
  <si>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</si>
  <si>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</si>
  <si>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</si>
  <si>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</si>
  <si>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</si>
  <si>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</si>
  <si>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</si>
  <si>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</si>
  <si>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</si>
  <si>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</si>
  <si>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</si>
  <si>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</si>
  <si>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</si>
  <si>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</si>
  <si>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</si>
  <si>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</si>
  <si>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</si>
  <si>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</si>
  <si>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</si>
  <si>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</si>
  <si>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</si>
  <si>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</si>
  <si>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</si>
  <si>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</si>
  <si>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</si>
  <si>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</si>
  <si>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</si>
  <si>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</si>
  <si>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</si>
  <si>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</si>
  <si>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</si>
  <si>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</si>
  <si>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</si>
  <si>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</si>
  <si>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</si>
  <si>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</si>
  <si>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</si>
  <si>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</si>
  <si>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</si>
  <si>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</si>
  <si>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</si>
  <si>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</si>
  <si>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</si>
  <si>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</si>
  <si>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</si>
  <si>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</si>
  <si>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</si>
  <si>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</si>
  <si>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</si>
  <si>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</si>
  <si>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</si>
  <si>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</si>
  <si>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</si>
  <si>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</si>
  <si>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</si>
  <si>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</si>
  <si>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</si>
  <si>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</si>
  <si>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</si>
  <si>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</si>
  <si>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</si>
  <si>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</si>
  <si>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</si>
  <si>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</si>
  <si>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</si>
  <si>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</si>
  <si>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</si>
  <si>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</si>
  <si>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</si>
  <si>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</si>
  <si>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</si>
  <si>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</si>
  <si>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</si>
  <si>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JS8 LED</t>
  </si>
  <si>
    <t>WSPR LED</t>
  </si>
  <si>
    <t>TX LED</t>
  </si>
  <si>
    <t>[PDX+] Counting/DSP processing</t>
  </si>
  <si>
    <t>[PDX+] CAL</t>
  </si>
  <si>
    <t xml:space="preserve">CAL 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</si>
  <si>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</si>
  <si>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</si>
  <si>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</si>
  <si>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</si>
  <si>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</si>
  <si>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</si>
  <si>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</si>
  <si>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</si>
  <si>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</si>
  <si>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</si>
  <si>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</si>
  <si>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</si>
  <si>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</si>
  <si>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TX SW</t>
  </si>
  <si>
    <t>UP SW</t>
  </si>
  <si>
    <t>DOWN SW</t>
  </si>
  <si>
    <t>[PDX+] ¿SWR Analog?</t>
  </si>
  <si>
    <t>PDX</t>
  </si>
  <si>
    <t>UART Rx</t>
  </si>
  <si>
    <t>UART Tx</t>
  </si>
  <si>
    <t>TFT SPI SCK</t>
  </si>
  <si>
    <t>TFT SPI MOSI</t>
  </si>
  <si>
    <t>TFT SPI CS</t>
  </si>
  <si>
    <t>TFT SPI RST</t>
  </si>
  <si>
    <t>TFT SPI DC</t>
  </si>
  <si>
    <t>+5Vcc</t>
  </si>
  <si>
    <t>FSK In [Digital or Analog]</t>
  </si>
  <si>
    <t>ddsPIO CLK1 (RX)</t>
  </si>
  <si>
    <t>ddsPIO CLK0 (TX)</t>
  </si>
  <si>
    <t>ADX-rp2040-DDS</t>
  </si>
  <si>
    <t>CAL (out)</t>
  </si>
  <si>
    <t xml:space="preserve">RXSW </t>
  </si>
  <si>
    <t>RX Enable</t>
  </si>
  <si>
    <t>TX Led On</t>
  </si>
  <si>
    <t>FT8 Led On</t>
  </si>
  <si>
    <t>FT4 Led On</t>
  </si>
  <si>
    <t>JS8 Led On</t>
  </si>
  <si>
    <t>WSPR Led On</t>
  </si>
  <si>
    <t>Tx Enabled (down)</t>
  </si>
  <si>
    <t>Calibration Clock</t>
  </si>
  <si>
    <t>Up mode Switch</t>
  </si>
  <si>
    <t>Down mode Switch</t>
  </si>
  <si>
    <t>ATU (out)</t>
  </si>
  <si>
    <t>ATU On</t>
  </si>
  <si>
    <t>(A) GND</t>
  </si>
  <si>
    <t>Analog Ground</t>
  </si>
  <si>
    <t>3V3 (in)</t>
  </si>
  <si>
    <t>3V3 (out)</t>
  </si>
  <si>
    <t>VBUS (+5 Vcc) in</t>
  </si>
  <si>
    <t>dds CLK0 (TX)</t>
  </si>
  <si>
    <t>dds CLK1 (RX)</t>
  </si>
  <si>
    <t>dds Output (8-PSK)</t>
  </si>
  <si>
    <t>dds Output (fbase MHz)</t>
  </si>
  <si>
    <t>not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</si>
</sst>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5" xfId="0" applyFont="1" applyFill="1" applyBorder="1"/>
    <xf numFmtId="0" fontId="2" fillId="6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8" borderId="4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8" borderId="5" xfId="0" applyFont="1" applyFill="1" applyBorder="1"/>
    <xf numFmtId="0" fontId="2" fillId="8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5" xfId="0" applyFill="1" applyBorder="1"/>
    <xf numFmtId="0" fontId="0" fillId="9" borderId="6" xfId="0" applyFill="1" applyBorder="1"/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0" fontId="0" fillId="5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10" borderId="4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2" fillId="10" borderId="5" xfId="0" applyFont="1" applyFill="1" applyBorder="1"/>
    <xf numFmtId="0" fontId="2" fillId="10" borderId="6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11" borderId="4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5" xfId="0" applyFill="1" applyBorder="1"/>
    <xf numFmtId="0" fontId="0" fillId="11" borderId="6" xfId="0" applyFill="1" applyBorder="1"/>
    <xf numFmtId="0" fontId="0" fillId="13" borderId="4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5" xfId="0" applyFill="1" applyBorder="1"/>
    <xf numFmtId="0" fontId="0" fillId="13" borderId="6" xfId="0" applyFill="1" applyBorder="1"/>
    <xf numFmtId="0" fontId="1" fillId="4" borderId="10" xfId="0" applyFont="1" applyFill="1" applyBorder="1" applyAlignment="1">
      <alignment horizontal="center"/>
    </xf>
    <xf numFmtId="0" fontId="3" fillId="12" borderId="11" xfId="0" applyFont="1" applyFill="1" applyBorder="1"/>
    <xf numFmtId="0" fontId="2" fillId="2" borderId="11" xfId="0" applyFont="1" applyFill="1" applyBorder="1"/>
    <xf numFmtId="0" fontId="0" fillId="0" borderId="12" xfId="0" applyBorder="1"/>
    <xf numFmtId="0" fontId="0" fillId="0" borderId="13" xfId="0" quotePrefix="1" applyBorder="1"/>
    <xf numFmtId="0" fontId="0" fillId="0" borderId="11" xfId="0" applyBorder="1"/>
    <xf numFmtId="0" fontId="2" fillId="0" borderId="11" xfId="0" applyFont="1" applyBorder="1"/>
    <xf numFmtId="0" fontId="2" fillId="16" borderId="12" xfId="0" applyFont="1" applyFill="1" applyBorder="1"/>
    <xf numFmtId="0" fontId="2" fillId="8" borderId="12" xfId="0" applyFont="1" applyFill="1" applyBorder="1"/>
    <xf numFmtId="0" fontId="2" fillId="14" borderId="12" xfId="0" applyFont="1" applyFill="1" applyBorder="1"/>
    <xf numFmtId="0" fontId="0" fillId="15" borderId="12" xfId="0" applyFill="1" applyBorder="1"/>
    <xf numFmtId="0" fontId="2" fillId="3" borderId="12" xfId="0" applyFont="1" applyFill="1" applyBorder="1"/>
    <xf numFmtId="0" fontId="2" fillId="6" borderId="12" xfId="0" applyFont="1" applyFill="1" applyBorder="1"/>
    <xf numFmtId="0" fontId="2" fillId="6" borderId="1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I43"/>
  <sheetViews>
    <sheetView tabSelected="1" workbookViewId="0">
      <selection activeCell="J15" sqref="J15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23" bestFit="1" customWidth="1"/>
    <col min="8" max="8" width="14.33203125" bestFit="1" customWidth="1"/>
    <col min="9" max="9" width="18.6640625" bestFit="1" customWidth="1"/>
  </cols>
  <sheetData>
    <row r="2" spans="2:9" ht="16" thickBot="1" x14ac:dyDescent="0.25"/>
    <row r="3" spans="2:9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52" t="s">
        <v>98</v>
      </c>
      <c r="H3" s="52" t="s">
        <v>110</v>
      </c>
      <c r="I3" s="52" t="s">
        <v>3</v>
      </c>
    </row>
    <row r="4" spans="2:9" x14ac:dyDescent="0.2">
      <c r="B4" s="4">
        <f>1</f>
        <v>1</v>
      </c>
      <c r="C4" s="5" t="s">
        <v>4</v>
      </c>
      <c r="D4" s="6"/>
      <c r="E4" s="6" t="s">
        <v>58</v>
      </c>
      <c r="F4" s="7" t="s">
        <v>93</v>
      </c>
      <c r="G4" s="53" t="s">
        <v>109</v>
      </c>
      <c r="H4" s="59" t="s">
        <v>130</v>
      </c>
      <c r="I4" s="59" t="s">
        <v>132</v>
      </c>
    </row>
    <row r="5" spans="2:9" x14ac:dyDescent="0.2">
      <c r="B5" s="4">
        <f>B4+1</f>
        <v>2</v>
      </c>
      <c r="C5" s="5" t="s">
        <v>5</v>
      </c>
      <c r="D5" s="6"/>
      <c r="E5" s="6" t="s">
        <v>58</v>
      </c>
      <c r="F5" s="7" t="s">
        <v>93</v>
      </c>
      <c r="G5" s="53" t="s">
        <v>108</v>
      </c>
      <c r="H5" s="59" t="s">
        <v>131</v>
      </c>
      <c r="I5" s="59" t="s">
        <v>133</v>
      </c>
    </row>
    <row r="6" spans="2:9" x14ac:dyDescent="0.2">
      <c r="B6" s="8">
        <f t="shared" ref="B6:B43" si="0">B5+1</f>
        <v>3</v>
      </c>
      <c r="C6" s="9" t="s">
        <v>6</v>
      </c>
      <c r="D6" s="10"/>
      <c r="E6" s="10"/>
      <c r="F6" s="11"/>
      <c r="G6" s="54"/>
      <c r="H6" s="55"/>
      <c r="I6" s="55"/>
    </row>
    <row r="7" spans="2:9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55" t="s">
        <v>49</v>
      </c>
      <c r="H7" s="60" t="s">
        <v>112</v>
      </c>
      <c r="I7" s="60" t="s">
        <v>113</v>
      </c>
    </row>
    <row r="8" spans="2:9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55" t="s">
        <v>77</v>
      </c>
      <c r="H8" s="60" t="s">
        <v>77</v>
      </c>
      <c r="I8" s="60" t="s">
        <v>114</v>
      </c>
    </row>
    <row r="9" spans="2:9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55" t="s">
        <v>73</v>
      </c>
      <c r="H9" s="60" t="s">
        <v>73</v>
      </c>
      <c r="I9" s="60" t="s">
        <v>115</v>
      </c>
    </row>
    <row r="10" spans="2:9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55" t="s">
        <v>74</v>
      </c>
      <c r="H10" s="60" t="s">
        <v>74</v>
      </c>
      <c r="I10" s="60" t="s">
        <v>116</v>
      </c>
    </row>
    <row r="11" spans="2:9" x14ac:dyDescent="0.2">
      <c r="B11" s="8">
        <f t="shared" si="0"/>
        <v>8</v>
      </c>
      <c r="C11" s="9" t="s">
        <v>6</v>
      </c>
      <c r="D11" s="10"/>
      <c r="E11" s="10"/>
      <c r="F11" s="11"/>
      <c r="G11" s="54"/>
      <c r="H11" s="55"/>
      <c r="I11" s="55"/>
    </row>
    <row r="12" spans="2:9" x14ac:dyDescent="0.2">
      <c r="B12" s="12">
        <f t="shared" si="0"/>
        <v>9</v>
      </c>
      <c r="C12" s="13" t="s">
        <v>11</v>
      </c>
      <c r="D12" s="14" t="s">
        <v>42</v>
      </c>
      <c r="E12" s="14" t="s">
        <v>66</v>
      </c>
      <c r="F12" s="15" t="s">
        <v>69</v>
      </c>
      <c r="G12" s="55" t="s">
        <v>75</v>
      </c>
      <c r="H12" s="60" t="s">
        <v>75</v>
      </c>
      <c r="I12" s="60" t="s">
        <v>117</v>
      </c>
    </row>
    <row r="13" spans="2:9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55" t="s">
        <v>76</v>
      </c>
      <c r="H13" s="60" t="s">
        <v>76</v>
      </c>
      <c r="I13" s="60" t="s">
        <v>118</v>
      </c>
    </row>
    <row r="14" spans="2:9" x14ac:dyDescent="0.2">
      <c r="B14" s="12">
        <f t="shared" si="0"/>
        <v>11</v>
      </c>
      <c r="C14" s="13" t="s">
        <v>13</v>
      </c>
      <c r="D14" s="14" t="s">
        <v>44</v>
      </c>
      <c r="E14" s="14" t="s">
        <v>68</v>
      </c>
      <c r="F14" s="15" t="s">
        <v>91</v>
      </c>
      <c r="G14" s="57" t="s">
        <v>94</v>
      </c>
      <c r="H14" s="61" t="s">
        <v>94</v>
      </c>
      <c r="I14" s="61" t="s">
        <v>119</v>
      </c>
    </row>
    <row r="15" spans="2:9" x14ac:dyDescent="0.2">
      <c r="B15" s="16">
        <f t="shared" si="0"/>
        <v>12</v>
      </c>
      <c r="C15" s="17" t="s">
        <v>14</v>
      </c>
      <c r="D15" s="18"/>
      <c r="E15" s="18" t="s">
        <v>59</v>
      </c>
      <c r="F15" s="19" t="s">
        <v>92</v>
      </c>
      <c r="G15" s="55" t="s">
        <v>80</v>
      </c>
      <c r="H15" s="60" t="s">
        <v>111</v>
      </c>
      <c r="I15" s="60" t="s">
        <v>120</v>
      </c>
    </row>
    <row r="16" spans="2:9" x14ac:dyDescent="0.2">
      <c r="B16" s="8">
        <f t="shared" si="0"/>
        <v>13</v>
      </c>
      <c r="C16" s="9" t="s">
        <v>6</v>
      </c>
      <c r="D16" s="10"/>
      <c r="E16" s="10"/>
      <c r="F16" s="11"/>
      <c r="G16" s="54"/>
      <c r="H16" s="55"/>
      <c r="I16" s="55"/>
    </row>
    <row r="17" spans="2:9" x14ac:dyDescent="0.2">
      <c r="B17" s="4">
        <f t="shared" si="0"/>
        <v>14</v>
      </c>
      <c r="C17" s="5" t="s">
        <v>15</v>
      </c>
      <c r="D17" s="6"/>
      <c r="E17" s="6" t="s">
        <v>58</v>
      </c>
      <c r="F17" s="7" t="s">
        <v>83</v>
      </c>
      <c r="G17" s="57" t="s">
        <v>95</v>
      </c>
      <c r="H17" s="61" t="s">
        <v>95</v>
      </c>
      <c r="I17" s="61" t="s">
        <v>121</v>
      </c>
    </row>
    <row r="18" spans="2:9" x14ac:dyDescent="0.2">
      <c r="B18" s="4">
        <f t="shared" si="0"/>
        <v>15</v>
      </c>
      <c r="C18" s="5" t="s">
        <v>16</v>
      </c>
      <c r="D18" s="6"/>
      <c r="E18" s="6" t="s">
        <v>58</v>
      </c>
      <c r="F18" s="7" t="s">
        <v>84</v>
      </c>
      <c r="G18" s="57" t="s">
        <v>96</v>
      </c>
      <c r="H18" s="61" t="s">
        <v>96</v>
      </c>
      <c r="I18" s="61" t="s">
        <v>122</v>
      </c>
    </row>
    <row r="19" spans="2:9" x14ac:dyDescent="0.2">
      <c r="B19" s="20">
        <f t="shared" si="0"/>
        <v>16</v>
      </c>
      <c r="C19" s="21" t="s">
        <v>17</v>
      </c>
      <c r="D19" s="22" t="s">
        <v>45</v>
      </c>
      <c r="E19" s="22" t="s">
        <v>61</v>
      </c>
      <c r="F19" s="23" t="s">
        <v>81</v>
      </c>
      <c r="G19" s="57" t="s">
        <v>99</v>
      </c>
      <c r="H19" s="62" t="s">
        <v>134</v>
      </c>
      <c r="I19" s="62"/>
    </row>
    <row r="20" spans="2:9" x14ac:dyDescent="0.2">
      <c r="B20" s="20">
        <f t="shared" si="0"/>
        <v>17</v>
      </c>
      <c r="C20" s="21" t="s">
        <v>18</v>
      </c>
      <c r="D20" s="22" t="s">
        <v>45</v>
      </c>
      <c r="E20" s="22" t="s">
        <v>60</v>
      </c>
      <c r="F20" s="23" t="s">
        <v>82</v>
      </c>
      <c r="G20" s="57" t="s">
        <v>100</v>
      </c>
      <c r="H20" s="62" t="s">
        <v>134</v>
      </c>
      <c r="I20" s="62"/>
    </row>
    <row r="21" spans="2:9" x14ac:dyDescent="0.2">
      <c r="B21" s="8">
        <f t="shared" si="0"/>
        <v>18</v>
      </c>
      <c r="C21" s="9" t="s">
        <v>6</v>
      </c>
      <c r="D21" s="10"/>
      <c r="E21" s="10"/>
      <c r="F21" s="11"/>
      <c r="G21" s="54"/>
      <c r="H21" s="55"/>
      <c r="I21" s="55"/>
    </row>
    <row r="22" spans="2:9" x14ac:dyDescent="0.2">
      <c r="B22" s="24">
        <f t="shared" si="0"/>
        <v>19</v>
      </c>
      <c r="C22" s="25" t="s">
        <v>19</v>
      </c>
      <c r="D22" s="26"/>
      <c r="E22" s="26" t="s">
        <v>56</v>
      </c>
      <c r="F22" s="27" t="s">
        <v>85</v>
      </c>
      <c r="G22" s="57" t="s">
        <v>58</v>
      </c>
      <c r="H22" s="62" t="s">
        <v>134</v>
      </c>
      <c r="I22" s="62"/>
    </row>
    <row r="23" spans="2:9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79</v>
      </c>
      <c r="G23" s="55" t="s">
        <v>59</v>
      </c>
      <c r="H23" s="60" t="s">
        <v>123</v>
      </c>
      <c r="I23" s="60" t="s">
        <v>124</v>
      </c>
    </row>
    <row r="24" spans="2:9" x14ac:dyDescent="0.2">
      <c r="B24" s="32">
        <f t="shared" si="0"/>
        <v>21</v>
      </c>
      <c r="C24" s="33" t="s">
        <v>21</v>
      </c>
      <c r="D24" s="34"/>
      <c r="E24" s="34" t="s">
        <v>47</v>
      </c>
      <c r="F24" s="35" t="s">
        <v>70</v>
      </c>
      <c r="G24" s="55" t="s">
        <v>47</v>
      </c>
      <c r="H24" s="62" t="s">
        <v>134</v>
      </c>
      <c r="I24" s="62"/>
    </row>
    <row r="25" spans="2:9" x14ac:dyDescent="0.2">
      <c r="B25" s="32">
        <f t="shared" si="0"/>
        <v>22</v>
      </c>
      <c r="C25" s="33" t="s">
        <v>22</v>
      </c>
      <c r="D25" s="34"/>
      <c r="E25" s="34" t="s">
        <v>48</v>
      </c>
      <c r="F25" s="35" t="s">
        <v>70</v>
      </c>
      <c r="G25" s="55" t="s">
        <v>48</v>
      </c>
      <c r="H25" s="62" t="s">
        <v>134</v>
      </c>
      <c r="I25" s="62"/>
    </row>
    <row r="26" spans="2:9" x14ac:dyDescent="0.2">
      <c r="B26" s="8">
        <f t="shared" si="0"/>
        <v>23</v>
      </c>
      <c r="C26" s="9" t="s">
        <v>6</v>
      </c>
      <c r="D26" s="10"/>
      <c r="E26" s="10"/>
      <c r="F26" s="11"/>
      <c r="G26" s="54"/>
      <c r="H26" s="55"/>
      <c r="I26" s="55"/>
    </row>
    <row r="27" spans="2:9" x14ac:dyDescent="0.2">
      <c r="B27" s="44">
        <f t="shared" si="0"/>
        <v>24</v>
      </c>
      <c r="C27" s="45" t="s">
        <v>23</v>
      </c>
      <c r="D27" s="46"/>
      <c r="E27" s="46" t="s">
        <v>49</v>
      </c>
      <c r="F27" s="47" t="s">
        <v>86</v>
      </c>
      <c r="G27" s="57" t="s">
        <v>101</v>
      </c>
      <c r="H27" s="62" t="s">
        <v>134</v>
      </c>
      <c r="I27" s="62"/>
    </row>
    <row r="28" spans="2:9" x14ac:dyDescent="0.2">
      <c r="B28" s="24">
        <f t="shared" si="0"/>
        <v>25</v>
      </c>
      <c r="C28" s="25" t="s">
        <v>24</v>
      </c>
      <c r="D28" s="26" t="s">
        <v>50</v>
      </c>
      <c r="E28" s="26" t="s">
        <v>53</v>
      </c>
      <c r="F28" s="27" t="s">
        <v>87</v>
      </c>
      <c r="G28" s="57" t="s">
        <v>102</v>
      </c>
      <c r="H28" s="62" t="s">
        <v>134</v>
      </c>
      <c r="I28" s="62"/>
    </row>
    <row r="29" spans="2:9" x14ac:dyDescent="0.2">
      <c r="B29" s="24">
        <f t="shared" si="0"/>
        <v>26</v>
      </c>
      <c r="C29" s="25" t="s">
        <v>25</v>
      </c>
      <c r="D29" s="26" t="s">
        <v>50</v>
      </c>
      <c r="E29" s="26" t="s">
        <v>54</v>
      </c>
      <c r="F29" s="27" t="s">
        <v>88</v>
      </c>
      <c r="G29" s="57" t="s">
        <v>103</v>
      </c>
      <c r="H29" s="62" t="s">
        <v>134</v>
      </c>
      <c r="I29" s="62"/>
    </row>
    <row r="30" spans="2:9" x14ac:dyDescent="0.2">
      <c r="B30" s="24">
        <f t="shared" si="0"/>
        <v>27</v>
      </c>
      <c r="C30" s="25" t="s">
        <v>26</v>
      </c>
      <c r="D30" s="26" t="s">
        <v>50</v>
      </c>
      <c r="E30" s="26" t="s">
        <v>55</v>
      </c>
      <c r="F30" s="27" t="s">
        <v>89</v>
      </c>
      <c r="G30" s="57" t="s">
        <v>104</v>
      </c>
      <c r="H30" s="62" t="s">
        <v>134</v>
      </c>
      <c r="I30" s="62"/>
    </row>
    <row r="31" spans="2:9" x14ac:dyDescent="0.2">
      <c r="B31" s="8">
        <f t="shared" si="0"/>
        <v>28</v>
      </c>
      <c r="C31" s="9" t="s">
        <v>6</v>
      </c>
      <c r="D31" s="10"/>
      <c r="E31" s="10"/>
      <c r="F31" s="11"/>
      <c r="G31" s="54"/>
      <c r="H31" s="55"/>
      <c r="I31" s="55"/>
    </row>
    <row r="32" spans="2:9" x14ac:dyDescent="0.2">
      <c r="B32" s="24">
        <f t="shared" si="0"/>
        <v>29</v>
      </c>
      <c r="C32" s="25" t="s">
        <v>27</v>
      </c>
      <c r="D32" s="26"/>
      <c r="E32" s="26" t="s">
        <v>57</v>
      </c>
      <c r="F32" s="27" t="s">
        <v>90</v>
      </c>
      <c r="G32" s="57" t="s">
        <v>105</v>
      </c>
      <c r="H32" s="62" t="s">
        <v>134</v>
      </c>
      <c r="I32" s="62"/>
    </row>
    <row r="33" spans="2:9" x14ac:dyDescent="0.2">
      <c r="B33" s="28">
        <f t="shared" si="0"/>
        <v>30</v>
      </c>
      <c r="C33" s="29" t="s">
        <v>28</v>
      </c>
      <c r="D33" s="30"/>
      <c r="E33" s="30"/>
      <c r="F33" s="31"/>
      <c r="G33" s="57" t="s">
        <v>58</v>
      </c>
      <c r="H33" s="62" t="s">
        <v>134</v>
      </c>
      <c r="I33" s="62"/>
    </row>
    <row r="34" spans="2:9" x14ac:dyDescent="0.2">
      <c r="B34" s="44">
        <f t="shared" si="0"/>
        <v>31</v>
      </c>
      <c r="C34" s="45" t="s">
        <v>29</v>
      </c>
      <c r="D34" s="46"/>
      <c r="E34" s="46" t="s">
        <v>51</v>
      </c>
      <c r="F34" s="47" t="s">
        <v>71</v>
      </c>
      <c r="G34" s="57" t="s">
        <v>58</v>
      </c>
      <c r="H34" s="62" t="s">
        <v>134</v>
      </c>
      <c r="I34" s="62"/>
    </row>
    <row r="35" spans="2:9" x14ac:dyDescent="0.2">
      <c r="B35" s="48">
        <f t="shared" si="0"/>
        <v>32</v>
      </c>
      <c r="C35" s="49" t="s">
        <v>30</v>
      </c>
      <c r="D35" s="50"/>
      <c r="E35" s="50" t="s">
        <v>52</v>
      </c>
      <c r="F35" s="51" t="s">
        <v>78</v>
      </c>
      <c r="G35" s="57" t="s">
        <v>107</v>
      </c>
      <c r="H35" s="62" t="s">
        <v>134</v>
      </c>
      <c r="I35" s="62"/>
    </row>
    <row r="36" spans="2:9" x14ac:dyDescent="0.2">
      <c r="B36" s="36">
        <f t="shared" si="0"/>
        <v>33</v>
      </c>
      <c r="C36" s="37" t="s">
        <v>31</v>
      </c>
      <c r="D36" s="38"/>
      <c r="E36" s="38"/>
      <c r="F36" s="39"/>
      <c r="G36" s="39"/>
      <c r="H36" s="63" t="s">
        <v>125</v>
      </c>
      <c r="I36" s="63" t="s">
        <v>126</v>
      </c>
    </row>
    <row r="37" spans="2:9" x14ac:dyDescent="0.2">
      <c r="B37" s="4">
        <f t="shared" si="0"/>
        <v>34</v>
      </c>
      <c r="C37" s="5" t="s">
        <v>32</v>
      </c>
      <c r="D37" s="6"/>
      <c r="E37" s="6" t="s">
        <v>58</v>
      </c>
      <c r="F37" s="7" t="s">
        <v>97</v>
      </c>
      <c r="G37" s="58"/>
      <c r="H37" s="55"/>
      <c r="I37" s="55"/>
    </row>
    <row r="38" spans="2:9" x14ac:dyDescent="0.2">
      <c r="B38" s="28">
        <f t="shared" si="0"/>
        <v>35</v>
      </c>
      <c r="C38" s="29" t="s">
        <v>33</v>
      </c>
      <c r="D38" s="30"/>
      <c r="E38" s="30"/>
      <c r="F38" s="31"/>
      <c r="G38" s="55"/>
      <c r="H38" s="55"/>
      <c r="I38" s="55"/>
    </row>
    <row r="39" spans="2:9" x14ac:dyDescent="0.2">
      <c r="B39" s="28">
        <f t="shared" si="0"/>
        <v>36</v>
      </c>
      <c r="C39" s="29" t="s">
        <v>34</v>
      </c>
      <c r="D39" s="30"/>
      <c r="E39" s="30"/>
      <c r="F39" s="31"/>
      <c r="G39" s="55"/>
      <c r="H39" s="64" t="s">
        <v>128</v>
      </c>
      <c r="I39" s="64"/>
    </row>
    <row r="40" spans="2:9" x14ac:dyDescent="0.2">
      <c r="B40" s="28">
        <f t="shared" si="0"/>
        <v>37</v>
      </c>
      <c r="C40" s="29" t="s">
        <v>35</v>
      </c>
      <c r="D40" s="30"/>
      <c r="E40" s="30"/>
      <c r="F40" s="31"/>
      <c r="G40" s="55"/>
      <c r="H40" s="64" t="s">
        <v>127</v>
      </c>
      <c r="I40" s="64"/>
    </row>
    <row r="41" spans="2:9" x14ac:dyDescent="0.2">
      <c r="B41" s="8">
        <f t="shared" si="0"/>
        <v>38</v>
      </c>
      <c r="C41" s="9" t="s">
        <v>6</v>
      </c>
      <c r="D41" s="10"/>
      <c r="E41" s="10"/>
      <c r="F41" s="11"/>
      <c r="G41" s="11"/>
      <c r="H41" s="55"/>
      <c r="I41" s="55"/>
    </row>
    <row r="42" spans="2:9" x14ac:dyDescent="0.2">
      <c r="B42" s="28">
        <f t="shared" si="0"/>
        <v>39</v>
      </c>
      <c r="C42" s="29" t="s">
        <v>36</v>
      </c>
      <c r="D42" s="30"/>
      <c r="E42" s="30"/>
      <c r="F42" s="31"/>
      <c r="G42" s="55"/>
      <c r="H42" s="64" t="s">
        <v>36</v>
      </c>
      <c r="I42" s="64"/>
    </row>
    <row r="43" spans="2:9" ht="16" thickBot="1" x14ac:dyDescent="0.25">
      <c r="B43" s="40">
        <f t="shared" si="0"/>
        <v>40</v>
      </c>
      <c r="C43" s="41" t="s">
        <v>37</v>
      </c>
      <c r="D43" s="42"/>
      <c r="E43" s="42"/>
      <c r="F43" s="43"/>
      <c r="G43" s="56" t="s">
        <v>106</v>
      </c>
      <c r="H43" s="65" t="s">
        <v>129</v>
      </c>
      <c r="I43" s="65"/>
    </row>
  </sheetData>
  <pageMargins left="0.7" right="0.7" top="0.75" bottom="0.75" header="0.3" footer="0.3"/>
  <pageSetup paperSize="9" scale="77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rp2040 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2025-11-16T22:38:30Z</dcterms:modified>
</cp:coreProperties>
</file>