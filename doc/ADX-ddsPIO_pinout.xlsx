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A8F2C63C-8623-644B-B11E-A02655A941FD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<sst xmlns="http://schemas.openxmlformats.org/spreadsheetml/2006/main" count="191" uniqueCount="141">
  <si>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</si>
  <si>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</si>
  <si>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</si>
  <si>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</si>
  <si>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</si>
  <si>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</si>
  <si>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</si>
  <si>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</si>
  <si>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</si>
  <si>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</si>
  <si>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</si>
  <si>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</si>
  <si>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</si>
  <si>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</si>
  <si>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</si>
  <si>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</si>
  <si>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</si>
  <si>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</si>
  <si>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</si>
  <si>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</si>
  <si>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</si>
  <si>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</si>
  <si>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</si>
  <si>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</si>
  <si>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</si>
  <si>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</si>
  <si>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</si>
  <si>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</si>
  <si>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</si>
  <si>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</si>
  <si>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</si>
  <si>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</si>
  <si>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</si>
  <si>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</si>
  <si>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</si>
  <si>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</si>
  <si>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</si>
  <si>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</si>
  <si>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</si>
  <si>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</si>
  <si>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</si>
  <si>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</si>
  <si>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</si>
  <si>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</si>
  <si>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</si>
  <si>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</si>
  <si>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</si>
  <si>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</si>
  <si>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</si>
  <si>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</si>
  <si>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</si>
  <si>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</si>
  <si>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</si>
  <si>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</si>
  <si>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</si>
  <si>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</si>
  <si>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</si>
  <si>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</si>
  <si>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</si>
  <si>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</si>
  <si>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</si>
  <si>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</si>
  <si>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</si>
  <si>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</si>
  <si>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</si>
  <si>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</si>
  <si>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</si>
  <si>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</si>
  <si>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</si>
  <si>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</si>
  <si>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</si>
  <si>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</si>
  <si>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</si>
  <si>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</si>
  <si>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</si>
  <si>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</si>
  <si>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</si>
  <si>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</si>
  <si>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</si>
  <si>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</si>
  <si>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</si>
  <si>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</si>
  <si>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</si>
  <si>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</si>
  <si>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</si>
  <si>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</si>
  <si>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</si>
  <si>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</si>
  <si>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</si>
  <si>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</si>
  <si>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</si>
  <si>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</si>
  <si>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</si>
  <si>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</si>
  <si>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</si>
  <si>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</si>
  <si>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</si>
  <si>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</si>
  <si>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</si>
  <si>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</si>
  <si>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</si>
  <si>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</si>
  <si>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</si>
  <si>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</si>
  <si>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</si>
  <si>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</si>
  <si>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</si>
  <si>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</si>
  <si>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</si>
  <si>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</si>
  <si>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</si>
  <si>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</si>
  <si>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</si>
  <si>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</si>
  <si>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</si>
  <si>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</si>
  <si>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</si>
  <si>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</si>
  <si>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</si>
  <si>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</si>
  <si>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</si>
  <si>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</si>
  <si>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</si>
  <si>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</si>
  <si>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</si>
  <si>
    <t>Analog FSK in</t>
  </si>
  <si>
    <t>RXA</t>
  </si>
  <si>
    <t>Digital RXA in</t>
  </si>
  <si>
    <t>UART TX</t>
  </si>
  <si>
    <t>UART RX</t>
  </si>
  <si>
    <t>Serial port debug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</si>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</sst>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workbookViewId="0">
      <selection activeCell="B3" sqref="B3:K4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107</v>
      </c>
      <c r="H3" s="30" t="s">
        <v>109</v>
      </c>
      <c r="J3" s="60" t="s">
        <v>131</v>
      </c>
      <c r="K3" s="60" t="s">
        <v>132</v>
      </c>
    </row>
    <row r="4" spans="2:11" x14ac:dyDescent="0.2">
      <c r="B4" s="12">
        <f>1</f>
        <v>1</v>
      </c>
      <c r="C4" s="13" t="s">
        <v>4</v>
      </c>
      <c r="D4" s="14"/>
      <c r="E4" s="14" t="s">
        <v>58</v>
      </c>
      <c r="F4" s="15" t="s">
        <v>90</v>
      </c>
      <c r="G4" s="31" t="s">
        <v>128</v>
      </c>
      <c r="H4" s="31" t="s">
        <v>130</v>
      </c>
      <c r="J4" s="61"/>
      <c r="K4" s="61"/>
    </row>
    <row r="5" spans="2:11" x14ac:dyDescent="0.2">
      <c r="B5" s="18">
        <f>B4+1</f>
        <v>2</v>
      </c>
      <c r="C5" s="19" t="s">
        <v>5</v>
      </c>
      <c r="D5" s="20"/>
      <c r="E5" s="20" t="s">
        <v>58</v>
      </c>
      <c r="F5" s="21" t="s">
        <v>90</v>
      </c>
      <c r="G5" s="44" t="s">
        <v>129</v>
      </c>
      <c r="H5" s="44" t="s">
        <v>130</v>
      </c>
      <c r="J5" s="61"/>
      <c r="K5" s="61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  <c r="J6" s="9" t="s">
        <v>6</v>
      </c>
      <c r="K6" s="61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95</v>
      </c>
      <c r="H7" s="31" t="s">
        <v>96</v>
      </c>
      <c r="J7" s="13" t="s">
        <v>49</v>
      </c>
      <c r="K7" s="61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97</v>
      </c>
      <c r="J8" s="13" t="s">
        <v>133</v>
      </c>
      <c r="K8" s="61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98</v>
      </c>
      <c r="J9" s="13" t="s">
        <v>134</v>
      </c>
      <c r="K9" s="61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99</v>
      </c>
      <c r="J10" s="13" t="s">
        <v>74</v>
      </c>
      <c r="K10" s="61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  <c r="J11" s="9" t="s">
        <v>6</v>
      </c>
      <c r="K11" s="61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118</v>
      </c>
      <c r="H12" s="31" t="s">
        <v>111</v>
      </c>
      <c r="J12" s="13" t="s">
        <v>118</v>
      </c>
      <c r="K12" s="61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119</v>
      </c>
      <c r="H13" s="45" t="s">
        <v>122</v>
      </c>
      <c r="J13" s="13" t="s">
        <v>119</v>
      </c>
      <c r="K13" s="61"/>
    </row>
    <row r="14" spans="2:11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120</v>
      </c>
      <c r="H14" s="46" t="s">
        <v>121</v>
      </c>
      <c r="J14" s="41" t="s">
        <v>135</v>
      </c>
      <c r="K14" s="61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94</v>
      </c>
      <c r="H15" s="31" t="s">
        <v>100</v>
      </c>
      <c r="J15" s="13" t="s">
        <v>46</v>
      </c>
      <c r="K15" s="61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  <c r="J16" s="9" t="s">
        <v>6</v>
      </c>
      <c r="K16" s="61"/>
    </row>
    <row r="17" spans="2:11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112</v>
      </c>
      <c r="J17" s="41" t="s">
        <v>136</v>
      </c>
      <c r="K17" s="61"/>
    </row>
    <row r="18" spans="2:11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113</v>
      </c>
      <c r="J18" s="41" t="s">
        <v>137</v>
      </c>
      <c r="K18" s="61"/>
    </row>
    <row r="19" spans="2:11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116</v>
      </c>
      <c r="H19" s="32" t="s">
        <v>124</v>
      </c>
      <c r="J19" s="61"/>
      <c r="K19" s="61"/>
    </row>
    <row r="20" spans="2:11" x14ac:dyDescent="0.2">
      <c r="B20" s="40">
        <f t="shared" si="0"/>
        <v>17</v>
      </c>
      <c r="C20" s="41" t="s">
        <v>18</v>
      </c>
      <c r="D20" s="42" t="s">
        <v>45</v>
      </c>
      <c r="E20" s="42" t="s">
        <v>60</v>
      </c>
      <c r="F20" s="43" t="s">
        <v>79</v>
      </c>
      <c r="G20" s="46" t="s">
        <v>114</v>
      </c>
      <c r="H20" s="32" t="s">
        <v>115</v>
      </c>
      <c r="J20" s="61"/>
      <c r="K20" s="61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  <c r="J21" s="9" t="s">
        <v>6</v>
      </c>
      <c r="K21" s="61"/>
    </row>
    <row r="22" spans="2:11" x14ac:dyDescent="0.2">
      <c r="B22" s="22">
        <f t="shared" si="0"/>
        <v>19</v>
      </c>
      <c r="C22" s="23" t="s">
        <v>19</v>
      </c>
      <c r="D22" s="24"/>
      <c r="E22" s="24" t="s">
        <v>56</v>
      </c>
      <c r="F22" s="25" t="s">
        <v>82</v>
      </c>
      <c r="G22" s="38" t="s">
        <v>108</v>
      </c>
      <c r="H22" s="38"/>
      <c r="J22" s="61"/>
      <c r="K22" s="61"/>
    </row>
    <row r="23" spans="2:11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1" t="s">
        <v>59</v>
      </c>
      <c r="H23" s="31" t="s">
        <v>117</v>
      </c>
      <c r="J23" s="13" t="s">
        <v>59</v>
      </c>
      <c r="K23" s="61"/>
    </row>
    <row r="24" spans="2:11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108</v>
      </c>
      <c r="H24" s="38"/>
      <c r="J24" s="61" t="s">
        <v>47</v>
      </c>
      <c r="K24" s="63" t="s">
        <v>139</v>
      </c>
    </row>
    <row r="25" spans="2:11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108</v>
      </c>
      <c r="H25" s="38"/>
      <c r="J25" s="61" t="s">
        <v>48</v>
      </c>
      <c r="K25" s="63" t="s">
        <v>139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  <c r="J26" s="9" t="s">
        <v>6</v>
      </c>
      <c r="K26" s="61"/>
    </row>
    <row r="27" spans="2:11" x14ac:dyDescent="0.2">
      <c r="B27" s="4">
        <f t="shared" si="0"/>
        <v>24</v>
      </c>
      <c r="C27" s="5" t="s">
        <v>23</v>
      </c>
      <c r="D27" s="6"/>
      <c r="E27" s="6" t="s">
        <v>49</v>
      </c>
      <c r="F27" s="7" t="s">
        <v>83</v>
      </c>
      <c r="G27" s="34" t="s">
        <v>110</v>
      </c>
      <c r="H27" s="34" t="s">
        <v>123</v>
      </c>
      <c r="J27" s="61"/>
      <c r="K27" s="63" t="s">
        <v>140</v>
      </c>
    </row>
    <row r="28" spans="2:11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106</v>
      </c>
      <c r="H28" s="38"/>
      <c r="J28" s="61"/>
      <c r="K28" s="61"/>
    </row>
    <row r="29" spans="2:11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38" t="s">
        <v>106</v>
      </c>
      <c r="H29" s="38"/>
      <c r="J29" s="61"/>
      <c r="K29" s="61"/>
    </row>
    <row r="30" spans="2:11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38" t="s">
        <v>106</v>
      </c>
      <c r="H30" s="38"/>
      <c r="J30" s="61"/>
      <c r="K30" s="61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  <c r="J31" s="9" t="s">
        <v>6</v>
      </c>
      <c r="K31" s="61"/>
    </row>
    <row r="32" spans="2:11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106</v>
      </c>
      <c r="H32" s="38"/>
      <c r="J32" s="61"/>
      <c r="K32" s="61"/>
    </row>
    <row r="33" spans="2:11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106</v>
      </c>
      <c r="H33" s="38"/>
      <c r="J33" s="61"/>
      <c r="K33" s="61"/>
    </row>
    <row r="34" spans="2:11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126</v>
      </c>
      <c r="H34" s="44" t="s">
        <v>127</v>
      </c>
      <c r="J34" s="61"/>
      <c r="K34" s="61"/>
    </row>
    <row r="35" spans="2:11" x14ac:dyDescent="0.2">
      <c r="B35" s="18">
        <f t="shared" si="0"/>
        <v>32</v>
      </c>
      <c r="C35" s="19" t="s">
        <v>30</v>
      </c>
      <c r="D35" s="20"/>
      <c r="E35" s="20" t="s">
        <v>52</v>
      </c>
      <c r="F35" s="21" t="s">
        <v>76</v>
      </c>
      <c r="G35" s="44" t="s">
        <v>52</v>
      </c>
      <c r="H35" s="44" t="s">
        <v>125</v>
      </c>
      <c r="J35" s="19" t="s">
        <v>52</v>
      </c>
      <c r="K35" s="63" t="s">
        <v>139</v>
      </c>
    </row>
    <row r="36" spans="2:11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101</v>
      </c>
      <c r="H36" s="33" t="s">
        <v>102</v>
      </c>
      <c r="J36" s="27" t="s">
        <v>31</v>
      </c>
      <c r="K36" s="61"/>
    </row>
    <row r="37" spans="2:11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106</v>
      </c>
      <c r="H37" s="38"/>
      <c r="J37" s="61"/>
      <c r="K37" s="61"/>
    </row>
    <row r="38" spans="2:11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  <c r="J38" s="61"/>
      <c r="K38" s="61"/>
    </row>
    <row r="39" spans="2:11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104</v>
      </c>
      <c r="H39" s="37"/>
      <c r="J39" s="62" t="s">
        <v>138</v>
      </c>
      <c r="K39" s="61"/>
    </row>
    <row r="40" spans="2:11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103</v>
      </c>
      <c r="H40" s="37"/>
      <c r="J40" s="61"/>
      <c r="K40" s="61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  <c r="J41" s="9" t="s">
        <v>6</v>
      </c>
      <c r="K41" s="61"/>
    </row>
    <row r="42" spans="2:11" x14ac:dyDescent="0.2">
      <c r="B42" s="47">
        <f t="shared" si="0"/>
        <v>39</v>
      </c>
      <c r="C42" s="48" t="s">
        <v>36</v>
      </c>
      <c r="D42" s="49"/>
      <c r="E42" s="49"/>
      <c r="F42" s="50"/>
      <c r="G42" s="57" t="s">
        <v>36</v>
      </c>
      <c r="H42" s="51"/>
      <c r="J42" s="61"/>
      <c r="K42" s="61"/>
    </row>
    <row r="43" spans="2:11" ht="16" thickBot="1" x14ac:dyDescent="0.25">
      <c r="B43" s="52">
        <f t="shared" si="0"/>
        <v>40</v>
      </c>
      <c r="C43" s="53" t="s">
        <v>37</v>
      </c>
      <c r="D43" s="54"/>
      <c r="E43" s="54"/>
      <c r="F43" s="55"/>
      <c r="G43" s="58" t="s">
        <v>105</v>
      </c>
      <c r="H43" s="56"/>
      <c r="J43" s="61"/>
      <c r="K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9">
        <f>E2*6.25</f>
        <v>0</v>
      </c>
    </row>
    <row r="3" spans="5:6" x14ac:dyDescent="0.2">
      <c r="E3">
        <f>E2+1</f>
        <v>1</v>
      </c>
      <c r="F3" s="59">
        <f t="shared" ref="F3:F9" si="0">E3*6.25</f>
        <v>6.25</v>
      </c>
    </row>
    <row r="4" spans="5:6" x14ac:dyDescent="0.2">
      <c r="E4">
        <f t="shared" ref="E4:E9" si="1">E3+1</f>
        <v>2</v>
      </c>
      <c r="F4" s="59">
        <f t="shared" si="0"/>
        <v>12.5</v>
      </c>
    </row>
    <row r="5" spans="5:6" x14ac:dyDescent="0.2">
      <c r="E5">
        <f t="shared" si="1"/>
        <v>3</v>
      </c>
      <c r="F5" s="59">
        <f t="shared" si="0"/>
        <v>18.75</v>
      </c>
    </row>
    <row r="6" spans="5:6" x14ac:dyDescent="0.2">
      <c r="E6">
        <f t="shared" si="1"/>
        <v>4</v>
      </c>
      <c r="F6" s="59">
        <f t="shared" si="0"/>
        <v>25</v>
      </c>
    </row>
    <row r="7" spans="5:6" x14ac:dyDescent="0.2">
      <c r="E7">
        <f t="shared" si="1"/>
        <v>5</v>
      </c>
      <c r="F7" s="59">
        <f t="shared" si="0"/>
        <v>31.25</v>
      </c>
    </row>
    <row r="8" spans="5:6" x14ac:dyDescent="0.2">
      <c r="E8">
        <f t="shared" si="1"/>
        <v>6</v>
      </c>
      <c r="F8" s="59">
        <f t="shared" si="0"/>
        <v>37.5</v>
      </c>
    </row>
    <row r="9" spans="5:6" x14ac:dyDescent="0.2">
      <c r="E9">
        <f t="shared" si="1"/>
        <v>7</v>
      </c>
      <c r="F9" s="59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2026-01-10T21:39:14Z</dcterms:modified>
</cp:coreProperties>
</file>