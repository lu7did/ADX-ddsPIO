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PCOLLA/Documents/GitHub/ADX-ddsPIO/doc/"/>
    </mc:Choice>
  </mc:AlternateContent>
  <xr:revisionPtr revIDLastSave="0" documentId="13_ncr:1_{A808A401-4DEF-F24E-8B7E-1318F4C4FC49}" xr6:coauthVersionLast="47" xr6:coauthVersionMax="47" xr10:uidLastSave="{00000000-0000-0000-0000-000000000000}"/>
  <bookViews>
    <workbookView xWindow="1320" yWindow="760" windowWidth="26700" windowHeight="16740" xr2:uid="{00000000-000D-0000-FFFF-FFFF00000000}"/>
  </bookViews>
  <sheets>
    <sheet name="rp2040 PinOut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F8" i="2"/>
  <c r="F7" i="2"/>
  <c r="F6" i="2"/>
  <c r="F5" i="2"/>
  <c r="F4" i="2"/>
  <c r="F3" i="2"/>
  <c r="F2" i="2"/>
  <c r="E4" i="2"/>
  <c r="E5" i="2" s="1"/>
  <c r="E6" i="2" s="1"/>
  <c r="E7" i="2" s="1"/>
  <c r="E8" i="2" s="1"/>
  <c r="E9" i="2" s="1"/>
  <c r="E3" i="2"/>
  <c r="E2" i="2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</calcChain>
</file>

<file path=xl/sharedStrings.xml><?xml version="1.0" encoding="utf-8"?>
<sst xmlns="http://schemas.openxmlformats.org/spreadsheetml/2006/main" count="212" uniqueCount="144">
  <si>
    <t>Pin</t>
  </si>
  <si>
    <t>Label</t>
  </si>
  <si>
    <t>Header</t>
  </si>
  <si>
    <t>Assignment</t>
  </si>
  <si>
    <t>GPIO0</t>
  </si>
  <si>
    <t>GPIO1</t>
  </si>
  <si>
    <t>GND</t>
  </si>
  <si>
    <t>GPIO2</t>
  </si>
  <si>
    <t>GPIO3</t>
  </si>
  <si>
    <t>GPIO4</t>
  </si>
  <si>
    <t>GPIO5</t>
  </si>
  <si>
    <t>GPIO6</t>
  </si>
  <si>
    <t>GPIO7</t>
  </si>
  <si>
    <t>GPIO8</t>
  </si>
  <si>
    <t>GPIO9</t>
  </si>
  <si>
    <t>GPIO10</t>
  </si>
  <si>
    <t>GPIO11</t>
  </si>
  <si>
    <t>GPIO12</t>
  </si>
  <si>
    <t>GPIO13</t>
  </si>
  <si>
    <t>GPIO14</t>
  </si>
  <si>
    <t>GPIO15</t>
  </si>
  <si>
    <t>GPIO16</t>
  </si>
  <si>
    <t>GPIO17</t>
  </si>
  <si>
    <t>GPIO18</t>
  </si>
  <si>
    <t>GPIO19</t>
  </si>
  <si>
    <t>GPIO20</t>
  </si>
  <si>
    <t>GPIO21</t>
  </si>
  <si>
    <t>GPIO22</t>
  </si>
  <si>
    <t>RUN</t>
  </si>
  <si>
    <t>GPIO26/ADC0</t>
  </si>
  <si>
    <t>GPIO27/ADC1</t>
  </si>
  <si>
    <t>(A)GND</t>
  </si>
  <si>
    <t>GPIO28/ADC2</t>
  </si>
  <si>
    <t>ADC_VREF</t>
  </si>
  <si>
    <t>3V3</t>
  </si>
  <si>
    <t>3V3_EN</t>
  </si>
  <si>
    <t>VSYS</t>
  </si>
  <si>
    <t>VBUS</t>
  </si>
  <si>
    <t>TFT(2)</t>
  </si>
  <si>
    <t>TFT(3)</t>
  </si>
  <si>
    <t>TFT(4)</t>
  </si>
  <si>
    <t>TFT(5)</t>
  </si>
  <si>
    <t>TFT(6)</t>
  </si>
  <si>
    <t>TFT(7)</t>
  </si>
  <si>
    <t>GPS1</t>
  </si>
  <si>
    <t>CAT1</t>
  </si>
  <si>
    <t>CAL</t>
  </si>
  <si>
    <t>SDA</t>
  </si>
  <si>
    <t>SCL</t>
  </si>
  <si>
    <t>RXSW</t>
  </si>
  <si>
    <t>J3</t>
  </si>
  <si>
    <t>RXB</t>
  </si>
  <si>
    <t>FSK</t>
  </si>
  <si>
    <t>EN(CLK)</t>
  </si>
  <si>
    <t>EN(DT)</t>
  </si>
  <si>
    <t>EN(SW)</t>
  </si>
  <si>
    <t>SWA</t>
  </si>
  <si>
    <t>SWB</t>
  </si>
  <si>
    <t>Unused</t>
  </si>
  <si>
    <t>ATU</t>
  </si>
  <si>
    <t>Tx</t>
  </si>
  <si>
    <t>Rx</t>
  </si>
  <si>
    <t>TFT2</t>
  </si>
  <si>
    <t>TFT3</t>
  </si>
  <si>
    <t>TFT4</t>
  </si>
  <si>
    <t>TFT5</t>
  </si>
  <si>
    <t>TFT6</t>
  </si>
  <si>
    <t>TFT7</t>
  </si>
  <si>
    <t>GPS Rx</t>
  </si>
  <si>
    <t>[PDX+] TFT Bus</t>
  </si>
  <si>
    <t>[PDX+] I2C Bus (Si5351/QUAD/OLED)</t>
  </si>
  <si>
    <t>[PDX+] TBD</t>
  </si>
  <si>
    <t>PDX+</t>
  </si>
  <si>
    <t>FT8 LED</t>
  </si>
  <si>
    <t>FT4 LED</t>
  </si>
  <si>
    <t>TX LED</t>
  </si>
  <si>
    <t>[PDX+] Counting/DSP processing</t>
  </si>
  <si>
    <t>[PDX+] CAL</t>
  </si>
  <si>
    <t xml:space="preserve">[PDX+] CAT Rx </t>
  </si>
  <si>
    <t>[PDX+] CAT Tx</t>
  </si>
  <si>
    <t>[PDX+]¿SWR?</t>
  </si>
  <si>
    <t>[PDX+] ¿CWOut?</t>
  </si>
  <si>
    <t>[PDX+] &lt;LEFT&gt; SW</t>
  </si>
  <si>
    <t>[PDX+] RXSW</t>
  </si>
  <si>
    <t>[PDX+] Encoder CLK</t>
  </si>
  <si>
    <t>[PDX+] Encoder BT</t>
  </si>
  <si>
    <t>[PDX+] Encoder SW</t>
  </si>
  <si>
    <t>[PDX+] &lt;RIGHT&gt;&gt; SW</t>
  </si>
  <si>
    <t>[PDX+] GPS</t>
  </si>
  <si>
    <t>[PDX+] ATU</t>
  </si>
  <si>
    <t>[PDX+] ¿LPF?</t>
  </si>
  <si>
    <t>UP SW</t>
  </si>
  <si>
    <t>DOWN SW</t>
  </si>
  <si>
    <t>[PDX+] ¿SWR Analog?</t>
  </si>
  <si>
    <t xml:space="preserve">RXSW </t>
  </si>
  <si>
    <t>RX Enable</t>
  </si>
  <si>
    <t>TX Led On</t>
  </si>
  <si>
    <t>FT8 Led On</t>
  </si>
  <si>
    <t>FT4 Led On</t>
  </si>
  <si>
    <t>(A) GND</t>
  </si>
  <si>
    <t>Analog Ground</t>
  </si>
  <si>
    <t>3V3 (in)</t>
  </si>
  <si>
    <t>3V3 (out)</t>
  </si>
  <si>
    <t>VBUS (+5 Vcc) in</t>
  </si>
  <si>
    <t>not used</t>
  </si>
  <si>
    <t>ADX-ddsPIO</t>
  </si>
  <si>
    <t>Not Used</t>
  </si>
  <si>
    <t>Purpose</t>
  </si>
  <si>
    <t>RFOUT</t>
  </si>
  <si>
    <t>JS8 LED On</t>
  </si>
  <si>
    <t>UP Button</t>
  </si>
  <si>
    <t>DOWN Button</t>
  </si>
  <si>
    <t>SYNC SW</t>
  </si>
  <si>
    <t>SYNC Button</t>
  </si>
  <si>
    <t>JS8LED</t>
  </si>
  <si>
    <t>WSPR LED</t>
  </si>
  <si>
    <t>TXSW</t>
  </si>
  <si>
    <t>TXSW Switch</t>
  </si>
  <si>
    <t>WSPR LED on</t>
  </si>
  <si>
    <t>RF Signal Out (TX)</t>
  </si>
  <si>
    <t>RXA</t>
  </si>
  <si>
    <t>Digital RXA in</t>
  </si>
  <si>
    <t>ADX-rp2040</t>
  </si>
  <si>
    <t>Actions to take</t>
  </si>
  <si>
    <t>TXLED</t>
  </si>
  <si>
    <t>FT8LED</t>
  </si>
  <si>
    <t>SW3 (TX)</t>
  </si>
  <si>
    <t>SW1 (UP)</t>
  </si>
  <si>
    <t>SW2 (DOWN)</t>
  </si>
  <si>
    <t>+3.3V</t>
  </si>
  <si>
    <t>Cut</t>
  </si>
  <si>
    <t>Wire up</t>
  </si>
  <si>
    <t>TXA</t>
  </si>
  <si>
    <t>Driver Enable</t>
  </si>
  <si>
    <t>RFLO</t>
  </si>
  <si>
    <t>RX Local Oscillator</t>
  </si>
  <si>
    <t>RFIF</t>
  </si>
  <si>
    <t>RF RX IF (465 KHz)</t>
  </si>
  <si>
    <t>SDA(1)</t>
  </si>
  <si>
    <t>SCL(1)</t>
  </si>
  <si>
    <t xml:space="preserve">I2C SDA </t>
  </si>
  <si>
    <t>I2C SCL</t>
  </si>
  <si>
    <t>rp2040Z</t>
  </si>
  <si>
    <t>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</si>
</sst>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5" xfId="0" applyFont="1" applyFill="1" applyBorder="1"/>
    <xf numFmtId="0" fontId="2" fillId="5" borderId="6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5" xfId="0" applyFont="1" applyFill="1" applyBorder="1"/>
    <xf numFmtId="0" fontId="2" fillId="7" borderId="6" xfId="0" applyFont="1" applyFill="1" applyBorder="1"/>
    <xf numFmtId="0" fontId="2" fillId="6" borderId="5" xfId="0" applyFont="1" applyFill="1" applyBorder="1"/>
    <xf numFmtId="0" fontId="2" fillId="6" borderId="6" xfId="0" applyFont="1" applyFill="1" applyBorder="1"/>
    <xf numFmtId="0" fontId="0" fillId="8" borderId="5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/>
    <xf numFmtId="0" fontId="2" fillId="3" borderId="6" xfId="0" applyFont="1" applyFill="1" applyBorder="1"/>
    <xf numFmtId="0" fontId="1" fillId="4" borderId="10" xfId="0" applyFont="1" applyFill="1" applyBorder="1" applyAlignment="1">
      <alignment horizontal="center"/>
    </xf>
    <xf numFmtId="0" fontId="2" fillId="7" borderId="11" xfId="0" applyFont="1" applyFill="1" applyBorder="1"/>
    <xf numFmtId="0" fontId="2" fillId="9" borderId="11" xfId="0" applyFont="1" applyFill="1" applyBorder="1"/>
    <xf numFmtId="0" fontId="2" fillId="3" borderId="11" xfId="0" applyFont="1" applyFill="1" applyBorder="1"/>
    <xf numFmtId="0" fontId="2" fillId="5" borderId="11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11" xfId="0" applyFont="1" applyBorder="1"/>
    <xf numFmtId="0" fontId="0" fillId="0" borderId="11" xfId="0" applyBorder="1"/>
    <xf numFmtId="0" fontId="0" fillId="2" borderId="11" xfId="0" applyFill="1" applyBorder="1"/>
    <xf numFmtId="0" fontId="2" fillId="9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5" xfId="0" applyFont="1" applyFill="1" applyBorder="1"/>
    <xf numFmtId="0" fontId="2" fillId="9" borderId="6" xfId="0" applyFont="1" applyFill="1" applyBorder="1"/>
    <xf numFmtId="0" fontId="0" fillId="8" borderId="11" xfId="0" applyFill="1" applyBorder="1"/>
    <xf numFmtId="0" fontId="2" fillId="7" borderId="0" xfId="0" applyFont="1" applyFill="1"/>
    <xf numFmtId="0" fontId="2" fillId="9" borderId="0" xfId="0" applyFont="1" applyFill="1"/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5" xfId="0" applyFill="1" applyBorder="1"/>
    <xf numFmtId="0" fontId="0" fillId="10" borderId="6" xfId="0" applyFill="1" applyBorder="1"/>
    <xf numFmtId="0" fontId="2" fillId="10" borderId="11" xfId="0" applyFont="1" applyFill="1" applyBorder="1"/>
    <xf numFmtId="0" fontId="0" fillId="10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8" xfId="0" applyFill="1" applyBorder="1"/>
    <xf numFmtId="0" fontId="0" fillId="10" borderId="9" xfId="0" applyFill="1" applyBorder="1"/>
    <xf numFmtId="0" fontId="2" fillId="10" borderId="12" xfId="0" applyFont="1" applyFill="1" applyBorder="1"/>
    <xf numFmtId="0" fontId="0" fillId="10" borderId="11" xfId="0" applyFill="1" applyBorder="1"/>
    <xf numFmtId="0" fontId="0" fillId="10" borderId="12" xfId="0" applyFill="1" applyBorder="1"/>
    <xf numFmtId="164" fontId="0" fillId="0" borderId="0" xfId="0" applyNumberFormat="1"/>
    <xf numFmtId="0" fontId="1" fillId="4" borderId="13" xfId="0" applyFont="1" applyFill="1" applyBorder="1" applyAlignment="1">
      <alignment horizontal="center"/>
    </xf>
    <xf numFmtId="0" fontId="0" fillId="0" borderId="13" xfId="0" applyBorder="1"/>
    <xf numFmtId="0" fontId="0" fillId="0" borderId="13" xfId="0" quotePrefix="1" applyBorder="1" applyAlignment="1">
      <alignment horizontal="center"/>
    </xf>
    <xf numFmtId="0" fontId="3" fillId="0" borderId="13" xfId="0" applyFont="1" applyBorder="1"/>
    <xf numFmtId="0" fontId="2" fillId="5" borderId="0" xfId="0" applyFont="1" applyFill="1"/>
    <xf numFmtId="0" fontId="2" fillId="10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5" xfId="0" applyFont="1" applyFill="1" applyBorder="1"/>
    <xf numFmtId="0" fontId="2" fillId="10" borderId="6" xfId="0" applyFont="1" applyFill="1" applyBorder="1"/>
    <xf numFmtId="0" fontId="0" fillId="11" borderId="13" xfId="0" applyFill="1" applyBorder="1"/>
    <xf numFmtId="0" fontId="0" fillId="2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43"/>
  <sheetViews>
    <sheetView tabSelected="1" topLeftCell="A40" workbookViewId="0">
      <selection activeCell="B3" sqref="B3:J43"/>
    </sheetView>
  </sheetViews>
  <sheetFormatPr baseColWidth="10" defaultRowHeight="15" x14ac:dyDescent="0.2"/>
  <cols>
    <col min="1" max="1" width="3.6640625" customWidth="1"/>
    <col min="2" max="2" width="3.83203125" bestFit="1" customWidth="1"/>
    <col min="3" max="3" width="13" bestFit="1" customWidth="1"/>
    <col min="4" max="5" width="0" hidden="1" customWidth="1"/>
    <col min="6" max="6" width="34.33203125" hidden="1" customWidth="1"/>
    <col min="7" max="7" width="13.1640625" bestFit="1" customWidth="1"/>
    <col min="8" max="8" width="17.6640625" bestFit="1" customWidth="1"/>
    <col min="9" max="9" width="0" hidden="1" customWidth="1"/>
    <col min="12" max="12" width="13" customWidth="1"/>
  </cols>
  <sheetData>
    <row r="2" spans="2:12" ht="16" thickBot="1" x14ac:dyDescent="0.25"/>
    <row r="3" spans="2:12" x14ac:dyDescent="0.2">
      <c r="B3" s="1" t="s">
        <v>0</v>
      </c>
      <c r="C3" s="2" t="s">
        <v>1</v>
      </c>
      <c r="D3" s="2" t="s">
        <v>2</v>
      </c>
      <c r="E3" s="2" t="s">
        <v>3</v>
      </c>
      <c r="F3" s="3" t="s">
        <v>72</v>
      </c>
      <c r="G3" s="27" t="s">
        <v>105</v>
      </c>
      <c r="H3" s="27" t="s">
        <v>107</v>
      </c>
      <c r="J3" s="27" t="s">
        <v>142</v>
      </c>
      <c r="K3" s="57" t="s">
        <v>122</v>
      </c>
      <c r="L3" s="57" t="s">
        <v>123</v>
      </c>
    </row>
    <row r="4" spans="2:12" x14ac:dyDescent="0.2">
      <c r="B4" s="19">
        <f>1</f>
        <v>1</v>
      </c>
      <c r="C4" s="20" t="s">
        <v>4</v>
      </c>
      <c r="D4" s="21"/>
      <c r="E4" s="21" t="s">
        <v>58</v>
      </c>
      <c r="F4" s="22" t="s">
        <v>90</v>
      </c>
      <c r="G4" s="35" t="s">
        <v>106</v>
      </c>
      <c r="H4" s="35"/>
      <c r="J4" s="66" t="s">
        <v>143</v>
      </c>
      <c r="K4" s="58"/>
      <c r="L4" s="58"/>
    </row>
    <row r="5" spans="2:12" x14ac:dyDescent="0.2">
      <c r="B5" s="19">
        <f>B4+1</f>
        <v>2</v>
      </c>
      <c r="C5" s="20" t="s">
        <v>5</v>
      </c>
      <c r="D5" s="21"/>
      <c r="E5" s="21" t="s">
        <v>58</v>
      </c>
      <c r="F5" s="22" t="s">
        <v>90</v>
      </c>
      <c r="G5" s="35" t="s">
        <v>106</v>
      </c>
      <c r="H5" s="35"/>
      <c r="J5" s="66" t="s">
        <v>143</v>
      </c>
      <c r="K5" s="58"/>
      <c r="L5" s="58"/>
    </row>
    <row r="6" spans="2:12" x14ac:dyDescent="0.2">
      <c r="B6" s="8">
        <f t="shared" ref="B6:B43" si="0">B5+1</f>
        <v>3</v>
      </c>
      <c r="C6" s="9" t="s">
        <v>6</v>
      </c>
      <c r="D6" s="10"/>
      <c r="E6" s="10"/>
      <c r="F6" s="11"/>
      <c r="G6" s="36"/>
      <c r="H6" s="36"/>
      <c r="J6" s="36"/>
      <c r="K6" s="9" t="s">
        <v>6</v>
      </c>
      <c r="L6" s="58"/>
    </row>
    <row r="7" spans="2:12" x14ac:dyDescent="0.2">
      <c r="B7" s="12">
        <f t="shared" si="0"/>
        <v>4</v>
      </c>
      <c r="C7" s="13" t="s">
        <v>7</v>
      </c>
      <c r="D7" s="14" t="s">
        <v>38</v>
      </c>
      <c r="E7" s="14" t="s">
        <v>62</v>
      </c>
      <c r="F7" s="15" t="s">
        <v>69</v>
      </c>
      <c r="G7" s="28" t="s">
        <v>94</v>
      </c>
      <c r="H7" s="28" t="s">
        <v>95</v>
      </c>
      <c r="J7" s="28" t="s">
        <v>94</v>
      </c>
      <c r="K7" s="13" t="s">
        <v>49</v>
      </c>
      <c r="L7" s="58"/>
    </row>
    <row r="8" spans="2:12" x14ac:dyDescent="0.2">
      <c r="B8" s="12">
        <f t="shared" si="0"/>
        <v>5</v>
      </c>
      <c r="C8" s="13" t="s">
        <v>8</v>
      </c>
      <c r="D8" s="14" t="s">
        <v>39</v>
      </c>
      <c r="E8" s="14" t="s">
        <v>63</v>
      </c>
      <c r="F8" s="15" t="s">
        <v>69</v>
      </c>
      <c r="G8" s="28" t="s">
        <v>75</v>
      </c>
      <c r="H8" s="28" t="s">
        <v>96</v>
      </c>
      <c r="J8" s="28" t="s">
        <v>75</v>
      </c>
      <c r="K8" s="13" t="s">
        <v>124</v>
      </c>
      <c r="L8" s="58"/>
    </row>
    <row r="9" spans="2:12" x14ac:dyDescent="0.2">
      <c r="B9" s="12">
        <f t="shared" si="0"/>
        <v>6</v>
      </c>
      <c r="C9" s="13" t="s">
        <v>9</v>
      </c>
      <c r="D9" s="14" t="s">
        <v>40</v>
      </c>
      <c r="E9" s="14" t="s">
        <v>64</v>
      </c>
      <c r="F9" s="15" t="s">
        <v>69</v>
      </c>
      <c r="G9" s="28" t="s">
        <v>73</v>
      </c>
      <c r="H9" s="28" t="s">
        <v>97</v>
      </c>
      <c r="J9" s="28" t="s">
        <v>73</v>
      </c>
      <c r="K9" s="13" t="s">
        <v>125</v>
      </c>
      <c r="L9" s="58"/>
    </row>
    <row r="10" spans="2:12" x14ac:dyDescent="0.2">
      <c r="B10" s="12">
        <f t="shared" si="0"/>
        <v>7</v>
      </c>
      <c r="C10" s="13" t="s">
        <v>10</v>
      </c>
      <c r="D10" s="14" t="s">
        <v>41</v>
      </c>
      <c r="E10" s="14" t="s">
        <v>65</v>
      </c>
      <c r="F10" s="15" t="s">
        <v>69</v>
      </c>
      <c r="G10" s="28" t="s">
        <v>74</v>
      </c>
      <c r="H10" s="28" t="s">
        <v>98</v>
      </c>
      <c r="J10" s="28" t="s">
        <v>74</v>
      </c>
      <c r="K10" s="13" t="s">
        <v>74</v>
      </c>
      <c r="L10" s="58"/>
    </row>
    <row r="11" spans="2:12" x14ac:dyDescent="0.2">
      <c r="B11" s="8">
        <f t="shared" si="0"/>
        <v>8</v>
      </c>
      <c r="C11" s="9" t="s">
        <v>6</v>
      </c>
      <c r="D11" s="10"/>
      <c r="E11" s="10"/>
      <c r="F11" s="11"/>
      <c r="G11" s="36"/>
      <c r="H11" s="36"/>
      <c r="J11" s="36"/>
      <c r="K11" s="9" t="s">
        <v>6</v>
      </c>
      <c r="L11" s="58"/>
    </row>
    <row r="12" spans="2:12" x14ac:dyDescent="0.2">
      <c r="B12" s="12">
        <f t="shared" si="0"/>
        <v>9</v>
      </c>
      <c r="C12" s="13" t="s">
        <v>11</v>
      </c>
      <c r="D12" s="6" t="s">
        <v>42</v>
      </c>
      <c r="E12" s="6" t="s">
        <v>66</v>
      </c>
      <c r="F12" s="7" t="s">
        <v>69</v>
      </c>
      <c r="G12" s="42" t="s">
        <v>114</v>
      </c>
      <c r="H12" s="28" t="s">
        <v>109</v>
      </c>
      <c r="J12" s="42" t="s">
        <v>114</v>
      </c>
      <c r="K12" s="13" t="s">
        <v>114</v>
      </c>
      <c r="L12" s="58"/>
    </row>
    <row r="13" spans="2:12" x14ac:dyDescent="0.2">
      <c r="B13" s="12">
        <f t="shared" si="0"/>
        <v>10</v>
      </c>
      <c r="C13" s="13" t="s">
        <v>12</v>
      </c>
      <c r="D13" s="14" t="s">
        <v>43</v>
      </c>
      <c r="E13" s="14" t="s">
        <v>67</v>
      </c>
      <c r="F13" s="15" t="s">
        <v>69</v>
      </c>
      <c r="G13" s="42" t="s">
        <v>115</v>
      </c>
      <c r="H13" s="42" t="s">
        <v>118</v>
      </c>
      <c r="J13" s="42" t="s">
        <v>115</v>
      </c>
      <c r="K13" s="13" t="s">
        <v>115</v>
      </c>
      <c r="L13" s="58"/>
    </row>
    <row r="14" spans="2:12" x14ac:dyDescent="0.2">
      <c r="B14" s="37">
        <f t="shared" si="0"/>
        <v>11</v>
      </c>
      <c r="C14" s="38" t="s">
        <v>13</v>
      </c>
      <c r="D14" s="14" t="s">
        <v>44</v>
      </c>
      <c r="E14" s="14" t="s">
        <v>68</v>
      </c>
      <c r="F14" s="15" t="s">
        <v>88</v>
      </c>
      <c r="G14" s="43" t="s">
        <v>116</v>
      </c>
      <c r="H14" s="43" t="s">
        <v>117</v>
      </c>
      <c r="J14" s="43" t="s">
        <v>116</v>
      </c>
      <c r="K14" s="38" t="s">
        <v>126</v>
      </c>
      <c r="L14" s="58"/>
    </row>
    <row r="15" spans="2:12" x14ac:dyDescent="0.2">
      <c r="B15" s="12">
        <f t="shared" si="0"/>
        <v>12</v>
      </c>
      <c r="C15" s="13" t="s">
        <v>14</v>
      </c>
      <c r="D15" s="16"/>
      <c r="E15" s="16" t="s">
        <v>59</v>
      </c>
      <c r="F15" s="17" t="s">
        <v>89</v>
      </c>
      <c r="G15" s="28" t="s">
        <v>132</v>
      </c>
      <c r="H15" s="28" t="s">
        <v>133</v>
      </c>
      <c r="J15" s="28" t="s">
        <v>132</v>
      </c>
      <c r="K15" s="13" t="s">
        <v>132</v>
      </c>
      <c r="L15" s="58"/>
    </row>
    <row r="16" spans="2:12" x14ac:dyDescent="0.2">
      <c r="B16" s="8">
        <f t="shared" si="0"/>
        <v>13</v>
      </c>
      <c r="C16" s="9" t="s">
        <v>6</v>
      </c>
      <c r="D16" s="10"/>
      <c r="E16" s="10"/>
      <c r="F16" s="11"/>
      <c r="G16" s="36"/>
      <c r="H16" s="36"/>
      <c r="J16" s="36"/>
      <c r="K16" s="9" t="s">
        <v>6</v>
      </c>
      <c r="L16" s="58"/>
    </row>
    <row r="17" spans="2:12" x14ac:dyDescent="0.2">
      <c r="B17" s="37">
        <f t="shared" si="0"/>
        <v>14</v>
      </c>
      <c r="C17" s="38" t="s">
        <v>15</v>
      </c>
      <c r="D17" s="6"/>
      <c r="E17" s="6" t="s">
        <v>58</v>
      </c>
      <c r="F17" s="7" t="s">
        <v>80</v>
      </c>
      <c r="G17" s="43" t="s">
        <v>91</v>
      </c>
      <c r="H17" s="29" t="s">
        <v>110</v>
      </c>
      <c r="J17" s="43" t="s">
        <v>91</v>
      </c>
      <c r="K17" s="38" t="s">
        <v>127</v>
      </c>
      <c r="L17" s="58"/>
    </row>
    <row r="18" spans="2:12" x14ac:dyDescent="0.2">
      <c r="B18" s="37">
        <f t="shared" si="0"/>
        <v>15</v>
      </c>
      <c r="C18" s="38" t="s">
        <v>16</v>
      </c>
      <c r="D18" s="6"/>
      <c r="E18" s="6" t="s">
        <v>58</v>
      </c>
      <c r="F18" s="7" t="s">
        <v>81</v>
      </c>
      <c r="G18" s="43" t="s">
        <v>92</v>
      </c>
      <c r="H18" s="29" t="s">
        <v>111</v>
      </c>
      <c r="J18" s="43" t="s">
        <v>92</v>
      </c>
      <c r="K18" s="38" t="s">
        <v>128</v>
      </c>
      <c r="L18" s="58"/>
    </row>
    <row r="19" spans="2:12" x14ac:dyDescent="0.2">
      <c r="B19" s="37">
        <f t="shared" si="0"/>
        <v>16</v>
      </c>
      <c r="C19" s="38" t="s">
        <v>17</v>
      </c>
      <c r="D19" s="39" t="s">
        <v>45</v>
      </c>
      <c r="E19" s="39" t="s">
        <v>61</v>
      </c>
      <c r="F19" s="40" t="s">
        <v>78</v>
      </c>
      <c r="G19" s="43" t="s">
        <v>112</v>
      </c>
      <c r="H19" s="29" t="s">
        <v>113</v>
      </c>
      <c r="J19" s="43" t="s">
        <v>112</v>
      </c>
      <c r="K19" s="58"/>
      <c r="L19" s="58"/>
    </row>
    <row r="20" spans="2:12" x14ac:dyDescent="0.2">
      <c r="B20" s="4">
        <f t="shared" si="0"/>
        <v>17</v>
      </c>
      <c r="C20" s="5" t="s">
        <v>18</v>
      </c>
      <c r="D20" s="6" t="s">
        <v>45</v>
      </c>
      <c r="E20" s="6" t="s">
        <v>60</v>
      </c>
      <c r="F20" s="7" t="s">
        <v>79</v>
      </c>
      <c r="G20" s="61" t="s">
        <v>134</v>
      </c>
      <c r="H20" s="31" t="s">
        <v>135</v>
      </c>
      <c r="J20" s="61" t="s">
        <v>134</v>
      </c>
      <c r="K20" s="58"/>
      <c r="L20" s="58"/>
    </row>
    <row r="21" spans="2:12" x14ac:dyDescent="0.2">
      <c r="B21" s="8">
        <f t="shared" si="0"/>
        <v>18</v>
      </c>
      <c r="C21" s="9" t="s">
        <v>6</v>
      </c>
      <c r="D21" s="10"/>
      <c r="E21" s="10"/>
      <c r="F21" s="11"/>
      <c r="G21" s="36"/>
      <c r="H21" s="36"/>
      <c r="J21" s="36"/>
      <c r="K21" s="9" t="s">
        <v>6</v>
      </c>
      <c r="L21" s="58"/>
    </row>
    <row r="22" spans="2:12" x14ac:dyDescent="0.2">
      <c r="B22" s="4">
        <f t="shared" si="0"/>
        <v>19</v>
      </c>
      <c r="C22" s="5" t="s">
        <v>19</v>
      </c>
      <c r="D22" s="6"/>
      <c r="E22" s="6" t="s">
        <v>56</v>
      </c>
      <c r="F22" s="7" t="s">
        <v>82</v>
      </c>
      <c r="G22" s="31" t="s">
        <v>108</v>
      </c>
      <c r="H22" s="31" t="s">
        <v>119</v>
      </c>
      <c r="J22" s="31" t="s">
        <v>108</v>
      </c>
      <c r="K22" s="58"/>
      <c r="L22" s="58"/>
    </row>
    <row r="23" spans="2:12" x14ac:dyDescent="0.2">
      <c r="B23" s="4">
        <f t="shared" si="0"/>
        <v>20</v>
      </c>
      <c r="C23" s="5" t="s">
        <v>20</v>
      </c>
      <c r="D23" s="6"/>
      <c r="E23" s="6" t="s">
        <v>46</v>
      </c>
      <c r="F23" s="7" t="s">
        <v>77</v>
      </c>
      <c r="G23" s="31" t="s">
        <v>136</v>
      </c>
      <c r="H23" s="31" t="s">
        <v>137</v>
      </c>
      <c r="J23" s="31" t="s">
        <v>136</v>
      </c>
      <c r="K23" s="58"/>
      <c r="L23" s="58"/>
    </row>
    <row r="24" spans="2:12" x14ac:dyDescent="0.2">
      <c r="B24" s="19">
        <f t="shared" si="0"/>
        <v>21</v>
      </c>
      <c r="C24" s="20" t="s">
        <v>21</v>
      </c>
      <c r="D24" s="32"/>
      <c r="E24" s="32" t="s">
        <v>47</v>
      </c>
      <c r="F24" s="33" t="s">
        <v>70</v>
      </c>
      <c r="G24" s="35" t="s">
        <v>106</v>
      </c>
      <c r="H24" s="35"/>
      <c r="J24" s="67"/>
      <c r="K24" s="58" t="s">
        <v>47</v>
      </c>
      <c r="L24" s="60" t="s">
        <v>130</v>
      </c>
    </row>
    <row r="25" spans="2:12" x14ac:dyDescent="0.2">
      <c r="B25" s="19">
        <f t="shared" si="0"/>
        <v>22</v>
      </c>
      <c r="C25" s="20" t="s">
        <v>22</v>
      </c>
      <c r="D25" s="32"/>
      <c r="E25" s="32" t="s">
        <v>48</v>
      </c>
      <c r="F25" s="33" t="s">
        <v>70</v>
      </c>
      <c r="G25" s="35" t="s">
        <v>106</v>
      </c>
      <c r="H25" s="35"/>
      <c r="J25" s="67"/>
      <c r="K25" s="58" t="s">
        <v>48</v>
      </c>
      <c r="L25" s="60" t="s">
        <v>130</v>
      </c>
    </row>
    <row r="26" spans="2:12" x14ac:dyDescent="0.2">
      <c r="B26" s="8">
        <f t="shared" si="0"/>
        <v>23</v>
      </c>
      <c r="C26" s="9" t="s">
        <v>6</v>
      </c>
      <c r="D26" s="10"/>
      <c r="E26" s="10"/>
      <c r="F26" s="11"/>
      <c r="G26" s="36"/>
      <c r="H26" s="36"/>
      <c r="J26" s="67"/>
      <c r="K26" s="9" t="s">
        <v>6</v>
      </c>
      <c r="L26" s="58"/>
    </row>
    <row r="27" spans="2:12" x14ac:dyDescent="0.2">
      <c r="B27" s="19">
        <f t="shared" si="0"/>
        <v>24</v>
      </c>
      <c r="C27" s="20" t="s">
        <v>23</v>
      </c>
      <c r="D27" s="21"/>
      <c r="E27" s="21" t="s">
        <v>49</v>
      </c>
      <c r="F27" s="22" t="s">
        <v>83</v>
      </c>
      <c r="G27" s="35" t="s">
        <v>106</v>
      </c>
      <c r="H27" s="35"/>
      <c r="J27" s="67"/>
      <c r="K27" s="58"/>
      <c r="L27" s="60" t="s">
        <v>131</v>
      </c>
    </row>
    <row r="28" spans="2:12" x14ac:dyDescent="0.2">
      <c r="B28" s="19">
        <f t="shared" si="0"/>
        <v>25</v>
      </c>
      <c r="C28" s="20" t="s">
        <v>24</v>
      </c>
      <c r="D28" s="21" t="s">
        <v>50</v>
      </c>
      <c r="E28" s="21" t="s">
        <v>53</v>
      </c>
      <c r="F28" s="22" t="s">
        <v>84</v>
      </c>
      <c r="G28" s="35" t="s">
        <v>104</v>
      </c>
      <c r="H28" s="35"/>
      <c r="J28" s="67"/>
      <c r="K28" s="58"/>
      <c r="L28" s="58"/>
    </row>
    <row r="29" spans="2:12" x14ac:dyDescent="0.2">
      <c r="B29" s="19">
        <f t="shared" si="0"/>
        <v>26</v>
      </c>
      <c r="C29" s="20" t="s">
        <v>25</v>
      </c>
      <c r="D29" s="21" t="s">
        <v>50</v>
      </c>
      <c r="E29" s="21" t="s">
        <v>54</v>
      </c>
      <c r="F29" s="22" t="s">
        <v>85</v>
      </c>
      <c r="G29" s="35" t="s">
        <v>104</v>
      </c>
      <c r="H29" s="35"/>
      <c r="J29" s="67"/>
      <c r="K29" s="58"/>
      <c r="L29" s="58"/>
    </row>
    <row r="30" spans="2:12" x14ac:dyDescent="0.2">
      <c r="B30" s="19">
        <f t="shared" si="0"/>
        <v>27</v>
      </c>
      <c r="C30" s="20" t="s">
        <v>26</v>
      </c>
      <c r="D30" s="21" t="s">
        <v>50</v>
      </c>
      <c r="E30" s="21" t="s">
        <v>55</v>
      </c>
      <c r="F30" s="22" t="s">
        <v>86</v>
      </c>
      <c r="G30" s="35" t="s">
        <v>104</v>
      </c>
      <c r="H30" s="35"/>
      <c r="J30" s="67"/>
      <c r="K30" s="58"/>
      <c r="L30" s="58"/>
    </row>
    <row r="31" spans="2:12" x14ac:dyDescent="0.2">
      <c r="B31" s="8">
        <f t="shared" si="0"/>
        <v>28</v>
      </c>
      <c r="C31" s="9" t="s">
        <v>6</v>
      </c>
      <c r="D31" s="10"/>
      <c r="E31" s="10"/>
      <c r="F31" s="11"/>
      <c r="G31" s="36"/>
      <c r="H31" s="36"/>
      <c r="J31" s="67"/>
      <c r="K31" s="9" t="s">
        <v>6</v>
      </c>
      <c r="L31" s="58"/>
    </row>
    <row r="32" spans="2:12" x14ac:dyDescent="0.2">
      <c r="B32" s="19">
        <f t="shared" si="0"/>
        <v>29</v>
      </c>
      <c r="C32" s="20" t="s">
        <v>27</v>
      </c>
      <c r="D32" s="21"/>
      <c r="E32" s="21" t="s">
        <v>57</v>
      </c>
      <c r="F32" s="22" t="s">
        <v>87</v>
      </c>
      <c r="G32" s="35" t="s">
        <v>104</v>
      </c>
      <c r="H32" s="35"/>
      <c r="J32" s="67"/>
      <c r="K32" s="58"/>
      <c r="L32" s="58"/>
    </row>
    <row r="33" spans="2:12" x14ac:dyDescent="0.2">
      <c r="B33" s="19">
        <f t="shared" si="0"/>
        <v>30</v>
      </c>
      <c r="C33" s="20" t="s">
        <v>28</v>
      </c>
      <c r="D33" s="21"/>
      <c r="E33" s="21"/>
      <c r="F33" s="22"/>
      <c r="G33" s="35" t="s">
        <v>104</v>
      </c>
      <c r="H33" s="35"/>
      <c r="J33" s="67"/>
      <c r="K33" s="58"/>
      <c r="L33" s="58"/>
    </row>
    <row r="34" spans="2:12" x14ac:dyDescent="0.2">
      <c r="B34" s="62">
        <f t="shared" si="0"/>
        <v>31</v>
      </c>
      <c r="C34" s="63" t="s">
        <v>29</v>
      </c>
      <c r="D34" s="64"/>
      <c r="E34" s="64" t="s">
        <v>51</v>
      </c>
      <c r="F34" s="65" t="s">
        <v>71</v>
      </c>
      <c r="G34" s="48" t="s">
        <v>138</v>
      </c>
      <c r="H34" s="48" t="s">
        <v>140</v>
      </c>
      <c r="J34" s="48" t="s">
        <v>138</v>
      </c>
      <c r="K34" s="58"/>
      <c r="L34" s="60" t="s">
        <v>131</v>
      </c>
    </row>
    <row r="35" spans="2:12" x14ac:dyDescent="0.2">
      <c r="B35" s="62">
        <f t="shared" si="0"/>
        <v>32</v>
      </c>
      <c r="C35" s="63" t="s">
        <v>30</v>
      </c>
      <c r="D35" s="64"/>
      <c r="E35" s="64" t="s">
        <v>52</v>
      </c>
      <c r="F35" s="65" t="s">
        <v>76</v>
      </c>
      <c r="G35" s="48" t="s">
        <v>139</v>
      </c>
      <c r="H35" s="48" t="s">
        <v>141</v>
      </c>
      <c r="J35" s="48" t="s">
        <v>139</v>
      </c>
      <c r="K35" s="20"/>
      <c r="L35" s="60" t="s">
        <v>130</v>
      </c>
    </row>
    <row r="36" spans="2:12" x14ac:dyDescent="0.2">
      <c r="B36" s="23">
        <f t="shared" si="0"/>
        <v>33</v>
      </c>
      <c r="C36" s="24" t="s">
        <v>31</v>
      </c>
      <c r="D36" s="25"/>
      <c r="E36" s="25"/>
      <c r="F36" s="26"/>
      <c r="G36" s="30" t="s">
        <v>99</v>
      </c>
      <c r="H36" s="30" t="s">
        <v>100</v>
      </c>
      <c r="J36" s="30" t="s">
        <v>99</v>
      </c>
      <c r="K36" s="24" t="s">
        <v>31</v>
      </c>
      <c r="L36" s="58"/>
    </row>
    <row r="37" spans="2:12" x14ac:dyDescent="0.2">
      <c r="B37" s="19">
        <f t="shared" si="0"/>
        <v>34</v>
      </c>
      <c r="C37" s="18" t="s">
        <v>32</v>
      </c>
      <c r="D37" s="21"/>
      <c r="E37" s="21" t="s">
        <v>58</v>
      </c>
      <c r="F37" s="22" t="s">
        <v>93</v>
      </c>
      <c r="G37" s="41" t="s">
        <v>120</v>
      </c>
      <c r="H37" s="41" t="s">
        <v>121</v>
      </c>
      <c r="J37" s="41" t="s">
        <v>120</v>
      </c>
      <c r="K37" s="58"/>
      <c r="L37" s="58"/>
    </row>
    <row r="38" spans="2:12" x14ac:dyDescent="0.2">
      <c r="B38" s="19">
        <f t="shared" si="0"/>
        <v>35</v>
      </c>
      <c r="C38" s="20" t="s">
        <v>33</v>
      </c>
      <c r="D38" s="21"/>
      <c r="E38" s="21"/>
      <c r="F38" s="22"/>
      <c r="G38" s="35"/>
      <c r="H38" s="35"/>
      <c r="J38" s="67"/>
      <c r="K38" s="58"/>
      <c r="L38" s="58"/>
    </row>
    <row r="39" spans="2:12" x14ac:dyDescent="0.2">
      <c r="B39" s="62">
        <f t="shared" si="0"/>
        <v>36</v>
      </c>
      <c r="C39" s="63" t="s">
        <v>34</v>
      </c>
      <c r="D39" s="46"/>
      <c r="E39" s="46"/>
      <c r="F39" s="47"/>
      <c r="G39" s="48" t="s">
        <v>102</v>
      </c>
      <c r="H39" s="48"/>
      <c r="J39" s="63" t="s">
        <v>34</v>
      </c>
      <c r="K39" s="59" t="s">
        <v>129</v>
      </c>
      <c r="L39" s="58"/>
    </row>
    <row r="40" spans="2:12" x14ac:dyDescent="0.2">
      <c r="B40" s="19">
        <f t="shared" si="0"/>
        <v>37</v>
      </c>
      <c r="C40" s="20" t="s">
        <v>35</v>
      </c>
      <c r="D40" s="21"/>
      <c r="E40" s="21"/>
      <c r="F40" s="22"/>
      <c r="G40" s="34" t="s">
        <v>101</v>
      </c>
      <c r="H40" s="34"/>
      <c r="J40" s="67"/>
      <c r="K40" s="58"/>
      <c r="L40" s="58"/>
    </row>
    <row r="41" spans="2:12" x14ac:dyDescent="0.2">
      <c r="B41" s="8">
        <f t="shared" si="0"/>
        <v>38</v>
      </c>
      <c r="C41" s="9" t="s">
        <v>6</v>
      </c>
      <c r="D41" s="10"/>
      <c r="E41" s="10"/>
      <c r="F41" s="11"/>
      <c r="G41" s="36"/>
      <c r="H41" s="36"/>
      <c r="J41" s="67"/>
      <c r="K41" s="9" t="s">
        <v>6</v>
      </c>
      <c r="L41" s="58"/>
    </row>
    <row r="42" spans="2:12" x14ac:dyDescent="0.2">
      <c r="B42" s="44">
        <f t="shared" si="0"/>
        <v>39</v>
      </c>
      <c r="C42" s="45" t="s">
        <v>36</v>
      </c>
      <c r="D42" s="46"/>
      <c r="E42" s="46"/>
      <c r="F42" s="47"/>
      <c r="G42" s="54" t="s">
        <v>36</v>
      </c>
      <c r="H42" s="48"/>
      <c r="J42" s="67"/>
      <c r="K42" s="58"/>
      <c r="L42" s="58"/>
    </row>
    <row r="43" spans="2:12" ht="16" thickBot="1" x14ac:dyDescent="0.25">
      <c r="B43" s="49">
        <f t="shared" si="0"/>
        <v>40</v>
      </c>
      <c r="C43" s="50" t="s">
        <v>37</v>
      </c>
      <c r="D43" s="51"/>
      <c r="E43" s="51"/>
      <c r="F43" s="52"/>
      <c r="G43" s="55" t="s">
        <v>103</v>
      </c>
      <c r="H43" s="53"/>
      <c r="J43" s="50" t="s">
        <v>37</v>
      </c>
      <c r="K43" s="58"/>
      <c r="L43" s="58"/>
    </row>
  </sheetData>
  <pageMargins left="0.7" right="0.7" top="0.75" bottom="0.75" header="0.3" footer="0.3"/>
  <pageSetup paperSize="9" scale="77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AE101-8E68-0948-8C36-5BC90280B6D9}">
  <dimension ref="E2:F9"/>
  <sheetViews>
    <sheetView workbookViewId="0">
      <selection activeCell="J7" sqref="J7"/>
    </sheetView>
  </sheetViews>
  <sheetFormatPr baseColWidth="10" defaultRowHeight="15" x14ac:dyDescent="0.2"/>
  <sheetData>
    <row r="2" spans="5:6" x14ac:dyDescent="0.2">
      <c r="E2">
        <f>0</f>
        <v>0</v>
      </c>
      <c r="F2" s="56">
        <f>E2*6.25</f>
        <v>0</v>
      </c>
    </row>
    <row r="3" spans="5:6" x14ac:dyDescent="0.2">
      <c r="E3">
        <f>E2+1</f>
        <v>1</v>
      </c>
      <c r="F3" s="56">
        <f t="shared" ref="F3:F9" si="0">E3*6.25</f>
        <v>6.25</v>
      </c>
    </row>
    <row r="4" spans="5:6" x14ac:dyDescent="0.2">
      <c r="E4">
        <f t="shared" ref="E4:E9" si="1">E3+1</f>
        <v>2</v>
      </c>
      <c r="F4" s="56">
        <f t="shared" si="0"/>
        <v>12.5</v>
      </c>
    </row>
    <row r="5" spans="5:6" x14ac:dyDescent="0.2">
      <c r="E5">
        <f t="shared" si="1"/>
        <v>3</v>
      </c>
      <c r="F5" s="56">
        <f t="shared" si="0"/>
        <v>18.75</v>
      </c>
    </row>
    <row r="6" spans="5:6" x14ac:dyDescent="0.2">
      <c r="E6">
        <f t="shared" si="1"/>
        <v>4</v>
      </c>
      <c r="F6" s="56">
        <f t="shared" si="0"/>
        <v>25</v>
      </c>
    </row>
    <row r="7" spans="5:6" x14ac:dyDescent="0.2">
      <c r="E7">
        <f t="shared" si="1"/>
        <v>5</v>
      </c>
      <c r="F7" s="56">
        <f t="shared" si="0"/>
        <v>31.25</v>
      </c>
    </row>
    <row r="8" spans="5:6" x14ac:dyDescent="0.2">
      <c r="E8">
        <f t="shared" si="1"/>
        <v>6</v>
      </c>
      <c r="F8" s="56">
        <f t="shared" si="0"/>
        <v>37.5</v>
      </c>
    </row>
    <row r="9" spans="5:6" x14ac:dyDescent="0.2">
      <c r="E9">
        <f t="shared" si="1"/>
        <v>7</v>
      </c>
      <c r="F9" s="56">
        <f t="shared" si="0"/>
        <v>43.75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rp2040 PinOut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Pedro E. Colla</dc:creator>
  <cp:lastModifiedBy>Pedro Colla</cp:lastModifiedBy>
  <cp:lastPrinted>2022-10-19T18:55:40Z</cp:lastPrinted>
  <dcterms:created xsi:type="dcterms:W3CDTF">2022-07-30T15:20:07Z</dcterms:created>
  <dcterms:modified xsi:type="dcterms:W3CDTF">2026-01-26T15:54:40Z</dcterms:modified>
</cp:coreProperties>
</file>